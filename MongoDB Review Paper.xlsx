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 Progress" sheetId="1" r:id="rId5"/>
    <sheet state="visible" name="02 Search Log" sheetId="2" r:id="rId6"/>
    <sheet state="visible" name="03 Source Screening" sheetId="3" r:id="rId7"/>
    <sheet state="visible" name="05 Handoff" sheetId="4" r:id="rId8"/>
    <sheet state="visible" name="04 Evidence Matrix" sheetId="5" r:id="rId9"/>
  </sheets>
  <definedNames/>
  <calcPr/>
</workbook>
</file>

<file path=xl/sharedStrings.xml><?xml version="1.0" encoding="utf-8"?>
<sst xmlns="http://schemas.openxmlformats.org/spreadsheetml/2006/main" count="510" uniqueCount="280">
  <si>
    <t>Search Log</t>
  </si>
  <si>
    <t>Handoff to Nicky for Sections 7–12</t>
  </si>
  <si>
    <t>MongoDB Review Paper — Team Progress</t>
  </si>
  <si>
    <t>Source Screening</t>
  </si>
  <si>
    <t>Create a new row for every search variation. Record the exact query, filters, date, and result count so the methodology can be reproduced.</t>
  </si>
  <si>
    <t>Give every source a Study ID. Keep excluded and duplicate records so the study-selection process remains transparent.</t>
  </si>
  <si>
    <t>Shreesh, Jahnavi, Dwarkesh, and Harshitha must record evidence that supports comparison, trends, challenges, gaps, future directions, implications, or the conclusion.</t>
  </si>
  <si>
    <t>Study ID</t>
  </si>
  <si>
    <t>Handoff ID</t>
  </si>
  <si>
    <t>Update pages, status, deadline, and next action after every work session. The progress percentage is calculated automatically.</t>
  </si>
  <si>
    <t>Overall progress</t>
  </si>
  <si>
    <t>Search ID</t>
  </si>
  <si>
    <t>Contributor</t>
  </si>
  <si>
    <t>Source Study ID</t>
  </si>
  <si>
    <t>Related subsection</t>
  </si>
  <si>
    <t>Added by</t>
  </si>
  <si>
    <t>Complete sections</t>
  </si>
  <si>
    <t>Member</t>
  </si>
  <si>
    <t>Type</t>
  </si>
  <si>
    <t>Evidence-based point</t>
  </si>
  <si>
    <t>Selected sources</t>
  </si>
  <si>
    <t>Search date</t>
  </si>
  <si>
    <t>Authors</t>
  </si>
  <si>
    <t>Why it matters</t>
  </si>
  <si>
    <t>Platform / database</t>
  </si>
  <si>
    <t>Cross-checked evidence</t>
  </si>
  <si>
    <t>Suggested use by Nicky</t>
  </si>
  <si>
    <t>Year</t>
  </si>
  <si>
    <t>Sent?</t>
  </si>
  <si>
    <t>Exact search query</t>
  </si>
  <si>
    <t>Title</t>
  </si>
  <si>
    <t>Used by Nicky?</t>
  </si>
  <si>
    <t>Source type</t>
  </si>
  <si>
    <t>Filters used</t>
  </si>
  <si>
    <t>Journal / venue</t>
  </si>
  <si>
    <t>Relevant</t>
  </si>
  <si>
    <t>H001</t>
  </si>
  <si>
    <t>Section / subsection</t>
  </si>
  <si>
    <t>DOI or stable URL</t>
  </si>
  <si>
    <t>Full text available?</t>
  </si>
  <si>
    <t>Notes</t>
  </si>
  <si>
    <t>Shreesh</t>
  </si>
  <si>
    <t>Title / abstract decision</t>
  </si>
  <si>
    <t>Full-text decision</t>
  </si>
  <si>
    <t>7.x</t>
  </si>
  <si>
    <t>Exclusion reason</t>
  </si>
  <si>
    <t>Q001</t>
  </si>
  <si>
    <t>Comparison</t>
  </si>
  <si>
    <t>Quality</t>
  </si>
  <si>
    <t>Final status</t>
  </si>
  <si>
    <t>Nicky</t>
  </si>
  <si>
    <t>S001</t>
  </si>
  <si>
    <t>No</t>
  </si>
  <si>
    <t>Google Search</t>
  </si>
  <si>
    <t>H002</t>
  </si>
  <si>
    <t>Importance of DataBase system</t>
  </si>
  <si>
    <t>NA</t>
  </si>
  <si>
    <t>1</t>
  </si>
  <si>
    <t>1 - 1.1</t>
  </si>
  <si>
    <t>Found a pdf but no author, publisher name and lacks in validation or proofs. Found in scribd</t>
  </si>
  <si>
    <t>Q002</t>
  </si>
  <si>
    <t>H003</t>
  </si>
  <si>
    <t>Section</t>
  </si>
  <si>
    <t>S002</t>
  </si>
  <si>
    <t>9.x</t>
  </si>
  <si>
    <t>Challenge</t>
  </si>
  <si>
    <t>Main heading</t>
  </si>
  <si>
    <t>Owner</t>
  </si>
  <si>
    <t>Q003</t>
  </si>
  <si>
    <t>Minimum pages</t>
  </si>
  <si>
    <t>H004</t>
  </si>
  <si>
    <t>Pages written</t>
  </si>
  <si>
    <t>Progress %</t>
  </si>
  <si>
    <t>Status</t>
  </si>
  <si>
    <t>S003</t>
  </si>
  <si>
    <t>Reviewer</t>
  </si>
  <si>
    <t>Q004</t>
  </si>
  <si>
    <t>Deadline</t>
  </si>
  <si>
    <t>Next action</t>
  </si>
  <si>
    <t>H005</t>
  </si>
  <si>
    <t>8.x</t>
  </si>
  <si>
    <t>Introduction</t>
  </si>
  <si>
    <t>Research trend</t>
  </si>
  <si>
    <t>Q005</t>
  </si>
  <si>
    <t>S004</t>
  </si>
  <si>
    <t>H006</t>
  </si>
  <si>
    <t>10.x</t>
  </si>
  <si>
    <t>Research gap</t>
  </si>
  <si>
    <t>Q006</t>
  </si>
  <si>
    <t>H007</t>
  </si>
  <si>
    <t>S005</t>
  </si>
  <si>
    <t>11.x</t>
  </si>
  <si>
    <t>Searching</t>
  </si>
  <si>
    <t>Future direction</t>
  </si>
  <si>
    <t>Q007</t>
  </si>
  <si>
    <t>Finalize objectives and research questions</t>
  </si>
  <si>
    <t>H008</t>
  </si>
  <si>
    <t>12.x</t>
  </si>
  <si>
    <t>S006</t>
  </si>
  <si>
    <t>Conclusion finding</t>
  </si>
  <si>
    <t>Review Methodology</t>
  </si>
  <si>
    <t>Jahnavi</t>
  </si>
  <si>
    <t>H009</t>
  </si>
  <si>
    <t>Q008</t>
  </si>
  <si>
    <t>S007</t>
  </si>
  <si>
    <t>Not Started</t>
  </si>
  <si>
    <t>H010</t>
  </si>
  <si>
    <t>Prepare and record the search strategy</t>
  </si>
  <si>
    <t>Q009</t>
  </si>
  <si>
    <t>Foundations and Evolution of MongoDB</t>
  </si>
  <si>
    <t>H011</t>
  </si>
  <si>
    <t>S008</t>
  </si>
  <si>
    <t>Q010</t>
  </si>
  <si>
    <t>H012</t>
  </si>
  <si>
    <t>Dwarkesh</t>
  </si>
  <si>
    <t>Collect foundational and conceptual sources</t>
  </si>
  <si>
    <t>S009</t>
  </si>
  <si>
    <t>Architecture and Core Capabilities</t>
  </si>
  <si>
    <t>H013</t>
  </si>
  <si>
    <t>Harshitha</t>
  </si>
  <si>
    <t>Q011</t>
  </si>
  <si>
    <t>H014</t>
  </si>
  <si>
    <t>S010</t>
  </si>
  <si>
    <t>Q012</t>
  </si>
  <si>
    <t>Divide the architecture subsections</t>
  </si>
  <si>
    <t>Data Modelling and Database Design</t>
  </si>
  <si>
    <t>H015</t>
  </si>
  <si>
    <t>Q013</t>
  </si>
  <si>
    <t>S011</t>
  </si>
  <si>
    <t>H016</t>
  </si>
  <si>
    <t>Research modelling patterns and trade-offs</t>
  </si>
  <si>
    <t>Application Domains and Use Cases</t>
  </si>
  <si>
    <t>Q014</t>
  </si>
  <si>
    <t>S012</t>
  </si>
  <si>
    <t>H017</t>
  </si>
  <si>
    <t>Locate empirical case studies</t>
  </si>
  <si>
    <t>H018</t>
  </si>
  <si>
    <t>Q015</t>
  </si>
  <si>
    <t>Comparative Analysis</t>
  </si>
  <si>
    <t>S013</t>
  </si>
  <si>
    <t>H019</t>
  </si>
  <si>
    <t>Q016</t>
  </si>
  <si>
    <t>Define consistent comparison criteria</t>
  </si>
  <si>
    <t>H020</t>
  </si>
  <si>
    <t>Research Trends and Emerging Themes</t>
  </si>
  <si>
    <t>S014</t>
  </si>
  <si>
    <t>Q017</t>
  </si>
  <si>
    <t>H021</t>
  </si>
  <si>
    <t>Classify studies by year and theme</t>
  </si>
  <si>
    <t>Q018</t>
  </si>
  <si>
    <t>S015</t>
  </si>
  <si>
    <t>Challenges and Limitations</t>
  </si>
  <si>
    <t>H022</t>
  </si>
  <si>
    <t>Q019</t>
  </si>
  <si>
    <t>H023</t>
  </si>
  <si>
    <t>S016</t>
  </si>
  <si>
    <t>Collect evidence-based challenges from the team</t>
  </si>
  <si>
    <t>Research Gaps</t>
  </si>
  <si>
    <t>H024</t>
  </si>
  <si>
    <t>Q020</t>
  </si>
  <si>
    <t>Waiting</t>
  </si>
  <si>
    <t>All members</t>
  </si>
  <si>
    <t>S017</t>
  </si>
  <si>
    <t>Wait for the synthesis of Sections 3–9</t>
  </si>
  <si>
    <t>H025</t>
  </si>
  <si>
    <t>Q021</t>
  </si>
  <si>
    <t>Future Research Directions</t>
  </si>
  <si>
    <t>H026</t>
  </si>
  <si>
    <t>S018</t>
  </si>
  <si>
    <t>Q022</t>
  </si>
  <si>
    <t>Map future directions to confirmed gaps</t>
  </si>
  <si>
    <t>H027</t>
  </si>
  <si>
    <t>Conclusion</t>
  </si>
  <si>
    <t>Q023</t>
  </si>
  <si>
    <t>S019</t>
  </si>
  <si>
    <t>H028</t>
  </si>
  <si>
    <t>Q024</t>
  </si>
  <si>
    <t>H029</t>
  </si>
  <si>
    <t>Wait for the complete findings</t>
  </si>
  <si>
    <t>S020</t>
  </si>
  <si>
    <t>Q025</t>
  </si>
  <si>
    <t>H030</t>
  </si>
  <si>
    <t>H031</t>
  </si>
  <si>
    <t>Q026</t>
  </si>
  <si>
    <t>S021</t>
  </si>
  <si>
    <t>H032</t>
  </si>
  <si>
    <t>Q027</t>
  </si>
  <si>
    <t>S022</t>
  </si>
  <si>
    <t>Q028</t>
  </si>
  <si>
    <t>S023</t>
  </si>
  <si>
    <t>Q029</t>
  </si>
  <si>
    <t>Q030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</si>
  <si>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</si>
  <si>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</si>
  <si>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</si>
  <si>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</si>
  <si>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</si>
  <si>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</si>
  <si>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</si>
  <si>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</si>
  <si>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</si>
  <si>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</si>
  <si>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Evidence Matrix</t>
  </si>
  <si>
    <t>Use one row per important finding. Repeat the Study ID when one source supports several subsections. Paraphrase briefly and record the exact evidence location.</t>
  </si>
  <si>
    <t>Evidence ID</t>
  </si>
  <si>
    <t>S034</t>
  </si>
  <si>
    <t>Subsection</t>
  </si>
  <si>
    <t>Purpose of study</t>
  </si>
  <si>
    <t>Method / workload</t>
  </si>
  <si>
    <t>Main finding in your own words</t>
  </si>
  <si>
    <t>Limitation</t>
  </si>
  <si>
    <t>Exact evidence location</t>
  </si>
  <si>
    <t>Intended use</t>
  </si>
  <si>
    <t>Verified?</t>
  </si>
  <si>
    <t>E001</t>
  </si>
  <si>
    <t>S035</t>
  </si>
  <si>
    <t>E002</t>
  </si>
  <si>
    <t>S036</t>
  </si>
  <si>
    <t>E003</t>
  </si>
  <si>
    <t>S037</t>
  </si>
  <si>
    <t>E004</t>
  </si>
  <si>
    <t>S038</t>
  </si>
  <si>
    <t>E005</t>
  </si>
  <si>
    <t>S039</t>
  </si>
  <si>
    <t>E006</t>
  </si>
  <si>
    <t>S040</t>
  </si>
  <si>
    <t>E007</t>
  </si>
  <si>
    <t>S041</t>
  </si>
  <si>
    <t>E008</t>
  </si>
  <si>
    <t>S042</t>
  </si>
  <si>
    <t>E009</t>
  </si>
  <si>
    <t>S043</t>
  </si>
  <si>
    <t>E010</t>
  </si>
  <si>
    <t>S044</t>
  </si>
  <si>
    <t>E011</t>
  </si>
  <si>
    <t>S045</t>
  </si>
  <si>
    <t>E012</t>
  </si>
  <si>
    <t>E013</t>
  </si>
  <si>
    <t>S046</t>
  </si>
  <si>
    <t>E014</t>
  </si>
  <si>
    <t>S047</t>
  </si>
  <si>
    <t>E015</t>
  </si>
  <si>
    <t>S048</t>
  </si>
  <si>
    <t>E016</t>
  </si>
  <si>
    <t>S049</t>
  </si>
  <si>
    <t>E017</t>
  </si>
  <si>
    <t>S050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</si>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</sst>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0">
    <font>
      <sz val="11.0"/>
      <color rgb="FF000000"/>
      <name val="Carlito"/>
      <scheme val="minor"/>
    </font>
    <font>
      <b/>
      <sz val="18.0"/>
      <color rgb="FFFFFFFF"/>
      <name val="Carlito"/>
    </font>
    <font>
      <i/>
      <sz val="10.0"/>
      <color rgb="FF1F2937"/>
      <name val="Carlito"/>
    </font>
    <font>
      <color theme="1"/>
      <name val="Carlito"/>
      <scheme val="minor"/>
    </font>
    <font>
      <b/>
      <sz val="10.0"/>
      <color rgb="FFFFFFFF"/>
      <name val="Carlito"/>
    </font>
    <font>
      <b/>
      <sz val="11.0"/>
      <color rgb="FF17365D"/>
      <name val="Carlito"/>
    </font>
    <font/>
    <font>
      <sz val="10.0"/>
      <color rgb="FF1F2937"/>
      <name val="Carlito"/>
    </font>
    <font>
      <b/>
      <sz val="12.0"/>
      <color rgb="FF0F6B78"/>
      <name val="Carlito"/>
    </font>
    <font>
      <sz val="10.0"/>
      <color rgb="FF5B3F8C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EAF3F8"/>
        <bgColor rgb="FFEAF3F8"/>
      </patternFill>
    </fill>
    <fill>
      <patternFill patternType="solid">
        <fgColor rgb="FF2F75B5"/>
        <bgColor rgb="FF2F75B5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bottom style="thin">
        <color rgb="FFE5E7EB"/>
      </bottom>
    </border>
    <border>
      <top style="thin">
        <color rgb="FFE5E7EB"/>
      </top>
      <bottom style="thin">
        <color rgb="FFE5E7EB"/>
      </bottom>
    </border>
    <border>
      <top style="thin">
        <color rgb="FFE5E7EB"/>
      </top>
      <bottom style="thin">
        <color rgb="FFCBD5E1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shrinkToFit="0" vertical="center" wrapText="1"/>
    </xf>
    <xf borderId="0" fillId="0" fontId="3" numFmtId="0" xfId="0" applyAlignment="1" applyFont="1">
      <alignment horizontal="center"/>
    </xf>
    <xf borderId="1" fillId="4" fontId="4" numFmtId="0" xfId="0" applyAlignment="1" applyBorder="1" applyFill="1" applyFont="1">
      <alignment horizontal="center" readingOrder="0" shrinkToFit="0" vertical="center" wrapText="1"/>
    </xf>
    <xf borderId="2" fillId="5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7" numFmtId="0" xfId="0" applyAlignment="1" applyBorder="1" applyFont="1">
      <alignment horizontal="center" shrinkToFit="0" vertical="top" wrapText="1"/>
    </xf>
    <xf borderId="2" fillId="6" fontId="8" numFmtId="9" xfId="0" applyAlignment="1" applyBorder="1" applyFill="1" applyFont="1" applyNumberFormat="1">
      <alignment horizontal="center" vertical="center"/>
    </xf>
    <xf borderId="4" fillId="0" fontId="7" numFmtId="0" xfId="0" applyAlignment="1" applyBorder="1" applyFont="1">
      <alignment shrinkToFit="0" vertical="top" wrapText="1"/>
    </xf>
    <xf borderId="4" fillId="0" fontId="7" numFmtId="0" xfId="0" applyAlignment="1" applyBorder="1" applyFont="1">
      <alignment horizontal="center" readingOrder="0" shrinkToFit="0" vertical="top" wrapText="1"/>
    </xf>
    <xf borderId="4" fillId="0" fontId="7" numFmtId="164" xfId="0" applyAlignment="1" applyBorder="1" applyFont="1" applyNumberFormat="1">
      <alignment horizontal="center" readingOrder="0" shrinkToFit="0" vertical="top" wrapText="1"/>
    </xf>
    <xf borderId="2" fillId="6" fontId="8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center" shrinkToFit="0" vertical="top" wrapText="1"/>
    </xf>
    <xf borderId="5" fillId="0" fontId="7" numFmtId="0" xfId="0" applyAlignment="1" applyBorder="1" applyFont="1">
      <alignment shrinkToFit="0" vertical="top" wrapText="1"/>
    </xf>
    <xf borderId="5" fillId="0" fontId="7" numFmtId="0" xfId="0" applyAlignment="1" applyBorder="1" applyFont="1">
      <alignment horizontal="center" readingOrder="0" shrinkToFit="0" vertical="top" wrapText="1"/>
    </xf>
    <xf borderId="5" fillId="0" fontId="7" numFmtId="164" xfId="0" applyAlignment="1" applyBorder="1" applyFont="1" applyNumberFormat="1">
      <alignment horizontal="center" readingOrder="0" shrinkToFit="0" vertical="top" wrapText="1"/>
    </xf>
    <xf borderId="5" fillId="0" fontId="7" numFmtId="49" xfId="0" applyAlignment="1" applyBorder="1" applyFont="1" applyNumberFormat="1">
      <alignment horizontal="center" shrinkToFit="0" vertical="top" wrapText="1"/>
    </xf>
    <xf borderId="5" fillId="0" fontId="7" numFmtId="164" xfId="0" applyAlignment="1" applyBorder="1" applyFont="1" applyNumberFormat="1">
      <alignment horizontal="center" shrinkToFit="0" vertical="top" wrapText="1"/>
    </xf>
    <xf borderId="4" fillId="0" fontId="7" numFmtId="0" xfId="0" applyAlignment="1" applyBorder="1" applyFont="1">
      <alignment readingOrder="0" shrinkToFit="0" vertical="top" wrapText="1"/>
    </xf>
    <xf borderId="4" fillId="0" fontId="7" numFmtId="165" xfId="0" applyAlignment="1" applyBorder="1" applyFont="1" applyNumberFormat="1">
      <alignment shrinkToFit="0" vertical="top" wrapText="1"/>
    </xf>
    <xf borderId="4" fillId="0" fontId="7" numFmtId="9" xfId="0" applyAlignment="1" applyBorder="1" applyFont="1" applyNumberFormat="1">
      <alignment shrinkToFit="0" vertical="top" wrapText="1"/>
    </xf>
    <xf borderId="4" fillId="0" fontId="9" numFmtId="0" xfId="0" applyAlignment="1" applyBorder="1" applyFont="1">
      <alignment readingOrder="0" shrinkToFit="0" vertical="top" wrapText="1"/>
    </xf>
    <xf borderId="5" fillId="0" fontId="7" numFmtId="0" xfId="0" applyAlignment="1" applyBorder="1" applyFont="1">
      <alignment readingOrder="0" shrinkToFit="0" vertical="top" wrapText="1"/>
    </xf>
    <xf borderId="5" fillId="0" fontId="7" numFmtId="165" xfId="0" applyAlignment="1" applyBorder="1" applyFont="1" applyNumberFormat="1">
      <alignment shrinkToFit="0" vertical="top" wrapText="1"/>
    </xf>
    <xf borderId="5" fillId="0" fontId="7" numFmtId="9" xfId="0" applyAlignment="1" applyBorder="1" applyFont="1" applyNumberFormat="1">
      <alignment shrinkToFit="0" vertical="top" wrapText="1"/>
    </xf>
    <xf borderId="6" fillId="0" fontId="7" numFmtId="0" xfId="0" applyAlignment="1" applyBorder="1" applyFont="1">
      <alignment horizontal="center" shrinkToFit="0" vertical="top" wrapText="1"/>
    </xf>
    <xf borderId="6" fillId="0" fontId="7" numFmtId="0" xfId="0" applyAlignment="1" applyBorder="1" applyFont="1">
      <alignment shrinkToFit="0" vertical="top" wrapText="1"/>
    </xf>
    <xf borderId="6" fillId="0" fontId="7" numFmtId="165" xfId="0" applyAlignment="1" applyBorder="1" applyFont="1" applyNumberFormat="1">
      <alignment shrinkToFit="0" vertical="top" wrapText="1"/>
    </xf>
    <xf borderId="6" fillId="0" fontId="7" numFmtId="9" xfId="0" applyAlignment="1" applyBorder="1" applyFont="1" applyNumberFormat="1">
      <alignment shrinkToFit="0" vertical="top" wrapText="1"/>
    </xf>
    <xf borderId="6" fillId="0" fontId="7" numFmtId="164" xfId="0" applyAlignment="1" applyBorder="1" applyFont="1" applyNumberFormat="1">
      <alignment horizontal="center" shrinkToFit="0" vertical="top" wrapText="1"/>
    </xf>
    <xf borderId="6" fillId="0" fontId="7" numFmtId="49" xfId="0" applyAlignment="1" applyBorder="1" applyFont="1" applyNumberFormat="1">
      <alignment horizontal="center" shrinkToFit="0" vertical="top" wrapText="1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166534"/>
      </font>
      <fill>
        <patternFill patternType="solid">
          <fgColor rgb="FFDCFCE7"/>
          <bgColor rgb="FFDCFCE7"/>
        </patternFill>
      </fill>
      <border/>
    </dxf>
    <dxf>
      <font>
        <b/>
        <color rgb="FF595959"/>
      </font>
      <fill>
        <patternFill patternType="solid">
          <fgColor rgb="FFE7E6E6"/>
          <bgColor rgb="FFE7E6E6"/>
        </patternFill>
      </fill>
      <border/>
    </dxf>
    <dxf>
      <font>
        <b/>
        <color rgb="FF7C5B00"/>
      </font>
      <fill>
        <patternFill patternType="solid">
          <fgColor rgb="FFFFF4CC"/>
          <bgColor rgb="FFFFF4CC"/>
        </patternFill>
      </fill>
      <border/>
    </dxf>
    <dxf>
      <font>
        <b/>
        <color rgb="FF17365D"/>
      </font>
      <fill>
        <patternFill patternType="solid">
          <fgColor rgb="FFD9EAF7"/>
          <bgColor rgb="FFD9EAF7"/>
        </patternFill>
      </fill>
      <border/>
    </dxf>
    <dxf>
      <font>
        <b/>
        <color rgb="FF5B3F8C"/>
      </font>
      <fill>
        <patternFill patternType="solid">
          <fgColor rgb="FFEDE7F6"/>
          <bgColor rgb="FFEDE7F6"/>
        </patternFill>
      </fill>
      <border/>
    </dxf>
    <dxf>
      <font>
        <b/>
        <color rgb="FF9C3D10"/>
      </font>
      <fill>
        <patternFill patternType="solid">
          <fgColor rgb="FFFCE4D6"/>
          <bgColor rgb="FFFCE4D6"/>
        </patternFill>
      </fill>
      <border/>
    </dxf>
    <dxf>
      <font>
        <b/>
        <color rgb="FFB42318"/>
      </font>
      <fill>
        <patternFill patternType="solid">
          <fgColor rgb="FFFDE2E1"/>
          <bgColor rgb="FFFDE2E1"/>
        </patternFill>
      </fill>
      <border/>
    </dxf>
  </dxfs>
  <tableStyles count="5">
    <tableStyle count="4" pivot="0" name="01 Progre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 Search 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 Handoff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3 Source Screen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4 Evidence Matrix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J18" displayName="ProgressTable" name="ProgressTable" id="2">
  <tableColumns count="10">
    <tableColumn name="Section" id="1"/>
    <tableColumn name="Main heading" id="2"/>
    <tableColumn name="Owner" id="3"/>
    <tableColumn name="Minimum pages" id="4"/>
    <tableColumn name="Pages written" id="5"/>
    <tableColumn name="Progress %" id="6"/>
    <tableColumn name="Status" id="7"/>
    <tableColumn name="Reviewer" id="8"/>
    <tableColumn name="Deadline" id="9"/>
    <tableColumn name="Next action" id="10"/>
  </tableColumns>
  <tableStyleInfo name="01 Progress-style" showColumnStripes="0" showFirstColumn="1" showLastColumn="1" showRowStripes="1"/>
</table>
</file>

<file path=xl/tables/table2.xml><?xml version="1.0" encoding="utf-8"?>
<table xmlns="http://schemas.openxmlformats.org/spreadsheetml/2006/main" ref="A4:I34" displayName="SearchLogTable" name="SearchLogTable" id="1">
  <tableColumns count="9">
    <tableColumn name="Search ID" id="1"/>
    <tableColumn name="Member" id="2"/>
    <tableColumn name="Search date" id="3"/>
    <tableColumn name="Platform / database" id="4"/>
    <tableColumn name="Exact search query" id="5"/>
    <tableColumn name="Filters used" id="6"/>
    <tableColumn name="Relevant" id="7"/>
    <tableColumn name="Section / subsection" id="8"/>
    <tableColumn name="Notes" id="9"/>
  </tableColumns>
  <tableStyleInfo name="02 Search Log-style" showColumnStripes="0" showFirstColumn="1" showLastColumn="1" showRowStripes="1"/>
</table>
</file>

<file path=xl/tables/table3.xml><?xml version="1.0" encoding="utf-8"?>
<table xmlns="http://schemas.openxmlformats.org/spreadsheetml/2006/main" ref="A4:N54" displayName="ScreeningTable" name="ScreeningTable" id="4">
  <tableColumns count="14">
    <tableColumn name="Study ID" id="1"/>
    <tableColumn name="Added by" id="2"/>
    <tableColumn name="Authors" id="3"/>
    <tableColumn name="Year" id="4"/>
    <tableColumn name="Title" id="5"/>
    <tableColumn name="Source type" id="6"/>
    <tableColumn name="Journal / venue" id="7"/>
    <tableColumn name="DOI or stable URL" id="8"/>
    <tableColumn name="Full text available?" id="9"/>
    <tableColumn name="Title / abstract decision" id="10"/>
    <tableColumn name="Full-text decision" id="11"/>
    <tableColumn name="Exclusion reason" id="12"/>
    <tableColumn name="Quality" id="13"/>
    <tableColumn name="Final status" id="14"/>
  </tableColumns>
  <tableStyleInfo name="03 Source Screening-style" showColumnStripes="0" showFirstColumn="1" showLastColumn="1" showRowStripes="1"/>
</table>
</file>

<file path=xl/tables/table4.xml><?xml version="1.0" encoding="utf-8"?>
<table xmlns="http://schemas.openxmlformats.org/spreadsheetml/2006/main" ref="A4:J36" displayName="HandoffTable" name="HandoffTable" id="3">
  <tableColumns count="10">
    <tableColumn name="Handoff ID" id="1"/>
    <tableColumn name="Contributor" id="2"/>
    <tableColumn name="Source Study ID" id="3"/>
    <tableColumn name="Related subsection" id="4"/>
    <tableColumn name="Type" id="5"/>
    <tableColumn name="Evidence-based point" id="6"/>
    <tableColumn name="Why it matters" id="7"/>
    <tableColumn name="Suggested use by Nicky" id="8"/>
    <tableColumn name="Sent?" id="9"/>
    <tableColumn name="Used by Nicky?" id="10"/>
  </tableColumns>
  <tableStyleInfo name="05 Handoff-style" showColumnStripes="0" showFirstColumn="1" showLastColumn="1" showRowStripes="1"/>
</table>
</file>

<file path=xl/tables/table5.xml><?xml version="1.0" encoding="utf-8"?>
<table xmlns="http://schemas.openxmlformats.org/spreadsheetml/2006/main" ref="A4:M54" displayName="EvidenceTable" name="EvidenceTable" id="5">
  <tableColumns count="13">
    <tableColumn name="Evidence ID" id="1"/>
    <tableColumn name="Study ID" id="2"/>
    <tableColumn name="Member" id="3"/>
    <tableColumn name="Section" id="4"/>
    <tableColumn name="Subsection" id="5"/>
    <tableColumn name="Purpose of study" id="6"/>
    <tableColumn name="Method / workload" id="7"/>
    <tableColumn name="Main finding in your own words" id="8"/>
    <tableColumn name="Limitation" id="9"/>
    <tableColumn name="Comparison" id="10"/>
    <tableColumn name="Exact evidence location" id="11"/>
    <tableColumn name="Intended use" id="12"/>
    <tableColumn name="Verified?" id="13"/>
  </tableColumns>
  <tableStyleInfo name="04 Evidence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0"/>
    <col customWidth="1" min="2" max="2" width="32.0"/>
    <col customWidth="1" min="3" max="3" width="14.0"/>
    <col customWidth="1" min="4" max="6" width="13.0"/>
    <col customWidth="1" min="7" max="8" width="17.0"/>
    <col customWidth="1" min="9" max="9" width="13.0"/>
    <col customWidth="1" min="10" max="10" width="40.0"/>
    <col customWidth="1" min="11" max="26" width="8.63"/>
  </cols>
  <sheetData>
    <row r="1" ht="31.5" customHeight="1">
      <c r="A1" s="1" t="s">
        <v>2</v>
      </c>
    </row>
    <row r="2" ht="31.5" customHeight="1">
      <c r="A2" s="2" t="s">
        <v>9</v>
      </c>
    </row>
    <row r="4">
      <c r="A4" s="5" t="s">
        <v>10</v>
      </c>
      <c r="B4" s="6"/>
      <c r="C4" s="5" t="s">
        <v>16</v>
      </c>
      <c r="D4" s="6"/>
      <c r="E4" s="5" t="s">
        <v>20</v>
      </c>
      <c r="F4" s="6"/>
      <c r="G4" s="5" t="s">
        <v>25</v>
      </c>
      <c r="H4" s="6"/>
    </row>
    <row r="5">
      <c r="A5" s="8">
        <f>IFERROR(SUM(E7:E18)/SUM(D7:D18),0)</f>
        <v>0</v>
      </c>
      <c r="B5" s="6"/>
      <c r="C5" s="12">
        <f>COUNTIF(G7:G18,"Complete")</f>
        <v>0</v>
      </c>
      <c r="D5" s="6"/>
      <c r="E5" s="12">
        <f>COUNTIF('03 Source Screening'!$N$5:$N$54,"Selected")</f>
        <v>0</v>
      </c>
      <c r="F5" s="6"/>
      <c r="G5" s="12">
        <f>COUNTIF('04 Evidence Matrix'!$M$5:$M$54,"*cross-checked*")</f>
        <v>0</v>
      </c>
      <c r="H5" s="6"/>
    </row>
    <row r="6" ht="31.5" customHeight="1">
      <c r="A6" s="4" t="s">
        <v>62</v>
      </c>
      <c r="B6" s="4" t="s">
        <v>66</v>
      </c>
      <c r="C6" s="4" t="s">
        <v>67</v>
      </c>
      <c r="D6" s="4" t="s">
        <v>69</v>
      </c>
      <c r="E6" s="4" t="s">
        <v>71</v>
      </c>
      <c r="F6" s="4" t="s">
        <v>72</v>
      </c>
      <c r="G6" s="4" t="s">
        <v>73</v>
      </c>
      <c r="H6" s="4" t="s">
        <v>75</v>
      </c>
      <c r="I6" s="4" t="s">
        <v>77</v>
      </c>
      <c r="J6" s="4" t="s">
        <v>78</v>
      </c>
    </row>
    <row r="7" ht="31.5" customHeight="1">
      <c r="A7" s="7">
        <v>1.0</v>
      </c>
      <c r="B7" s="9" t="s">
        <v>81</v>
      </c>
      <c r="C7" s="19" t="s">
        <v>50</v>
      </c>
      <c r="D7" s="20">
        <v>2.0</v>
      </c>
      <c r="E7" s="20">
        <v>0.0</v>
      </c>
      <c r="F7" s="21">
        <f t="shared" ref="F7:F18" si="1">IFERROR(MIN(E7/D7,1),0)</f>
        <v>0</v>
      </c>
      <c r="G7" s="22" t="s">
        <v>92</v>
      </c>
      <c r="H7" s="9" t="s">
        <v>50</v>
      </c>
      <c r="I7" s="11">
        <v>46257.0</v>
      </c>
      <c r="J7" s="9" t="s">
        <v>95</v>
      </c>
    </row>
    <row r="8" ht="31.5" customHeight="1">
      <c r="A8" s="13">
        <v>2.0</v>
      </c>
      <c r="B8" s="14" t="s">
        <v>100</v>
      </c>
      <c r="C8" s="23" t="s">
        <v>101</v>
      </c>
      <c r="D8" s="24">
        <v>2.0</v>
      </c>
      <c r="E8" s="24">
        <v>0.0</v>
      </c>
      <c r="F8" s="25">
        <f t="shared" si="1"/>
        <v>0</v>
      </c>
      <c r="G8" s="14" t="s">
        <v>105</v>
      </c>
      <c r="H8" s="14" t="s">
        <v>50</v>
      </c>
      <c r="I8" s="16">
        <v>46250.0</v>
      </c>
      <c r="J8" s="14" t="s">
        <v>107</v>
      </c>
    </row>
    <row r="9" ht="31.5" customHeight="1">
      <c r="A9" s="13">
        <v>3.0</v>
      </c>
      <c r="B9" s="14" t="s">
        <v>109</v>
      </c>
      <c r="C9" s="14" t="s">
        <v>101</v>
      </c>
      <c r="D9" s="24">
        <v>3.0</v>
      </c>
      <c r="E9" s="24">
        <v>0.0</v>
      </c>
      <c r="F9" s="25">
        <f t="shared" si="1"/>
        <v>0</v>
      </c>
      <c r="G9" s="14" t="s">
        <v>105</v>
      </c>
      <c r="H9" s="14" t="s">
        <v>114</v>
      </c>
      <c r="I9" s="18"/>
      <c r="J9" s="14" t="s">
        <v>115</v>
      </c>
    </row>
    <row r="10" ht="31.5" customHeight="1">
      <c r="A10" s="13">
        <v>4.0</v>
      </c>
      <c r="B10" s="14" t="s">
        <v>117</v>
      </c>
      <c r="C10" s="23" t="s">
        <v>119</v>
      </c>
      <c r="D10" s="24">
        <v>5.0</v>
      </c>
      <c r="E10" s="24">
        <v>0.0</v>
      </c>
      <c r="F10" s="25">
        <f t="shared" si="1"/>
        <v>0</v>
      </c>
      <c r="G10" s="14" t="s">
        <v>105</v>
      </c>
      <c r="H10" s="14" t="s">
        <v>101</v>
      </c>
      <c r="I10" s="18"/>
      <c r="J10" s="14" t="s">
        <v>124</v>
      </c>
    </row>
    <row r="11" ht="31.5" customHeight="1">
      <c r="A11" s="13">
        <v>5.0</v>
      </c>
      <c r="B11" s="14" t="s">
        <v>125</v>
      </c>
      <c r="C11" s="14" t="s">
        <v>119</v>
      </c>
      <c r="D11" s="24">
        <v>3.0</v>
      </c>
      <c r="E11" s="24">
        <v>0.0</v>
      </c>
      <c r="F11" s="25">
        <f t="shared" si="1"/>
        <v>0</v>
      </c>
      <c r="G11" s="14" t="s">
        <v>105</v>
      </c>
      <c r="H11" s="14" t="s">
        <v>50</v>
      </c>
      <c r="I11" s="18"/>
      <c r="J11" s="14" t="s">
        <v>130</v>
      </c>
    </row>
    <row r="12" ht="31.5" customHeight="1">
      <c r="A12" s="13">
        <v>6.0</v>
      </c>
      <c r="B12" s="14" t="s">
        <v>131</v>
      </c>
      <c r="C12" s="14" t="s">
        <v>119</v>
      </c>
      <c r="D12" s="24">
        <v>3.0</v>
      </c>
      <c r="E12" s="24">
        <v>0.0</v>
      </c>
      <c r="F12" s="25">
        <f t="shared" si="1"/>
        <v>0</v>
      </c>
      <c r="G12" s="14" t="s">
        <v>105</v>
      </c>
      <c r="H12" s="14" t="s">
        <v>50</v>
      </c>
      <c r="I12" s="18"/>
      <c r="J12" s="14" t="s">
        <v>135</v>
      </c>
    </row>
    <row r="13" ht="31.5" customHeight="1">
      <c r="A13" s="13">
        <v>7.0</v>
      </c>
      <c r="B13" s="14" t="s">
        <v>138</v>
      </c>
      <c r="C13" s="14" t="s">
        <v>50</v>
      </c>
      <c r="D13" s="24">
        <v>4.0</v>
      </c>
      <c r="E13" s="24">
        <v>0.0</v>
      </c>
      <c r="F13" s="25">
        <f t="shared" si="1"/>
        <v>0</v>
      </c>
      <c r="G13" s="14" t="s">
        <v>105</v>
      </c>
      <c r="H13" s="14" t="s">
        <v>114</v>
      </c>
      <c r="I13" s="18"/>
      <c r="J13" s="14" t="s">
        <v>142</v>
      </c>
    </row>
    <row r="14" ht="31.5" customHeight="1">
      <c r="A14" s="13">
        <v>8.0</v>
      </c>
      <c r="B14" s="14" t="s">
        <v>144</v>
      </c>
      <c r="C14" s="14" t="s">
        <v>50</v>
      </c>
      <c r="D14" s="24">
        <v>3.0</v>
      </c>
      <c r="E14" s="24">
        <v>0.0</v>
      </c>
      <c r="F14" s="25">
        <f t="shared" si="1"/>
        <v>0</v>
      </c>
      <c r="G14" s="14" t="s">
        <v>105</v>
      </c>
      <c r="H14" s="14" t="s">
        <v>119</v>
      </c>
      <c r="I14" s="18"/>
      <c r="J14" s="14" t="s">
        <v>148</v>
      </c>
    </row>
    <row r="15" ht="31.5" customHeight="1">
      <c r="A15" s="13">
        <v>9.0</v>
      </c>
      <c r="B15" s="14" t="s">
        <v>151</v>
      </c>
      <c r="C15" s="14" t="s">
        <v>50</v>
      </c>
      <c r="D15" s="24">
        <v>3.0</v>
      </c>
      <c r="E15" s="24">
        <v>0.0</v>
      </c>
      <c r="F15" s="25">
        <f t="shared" si="1"/>
        <v>0</v>
      </c>
      <c r="G15" s="14" t="s">
        <v>105</v>
      </c>
      <c r="H15" s="23" t="s">
        <v>101</v>
      </c>
      <c r="I15" s="18"/>
      <c r="J15" s="14" t="s">
        <v>156</v>
      </c>
    </row>
    <row r="16" ht="31.5" customHeight="1">
      <c r="A16" s="13">
        <v>10.0</v>
      </c>
      <c r="B16" s="14" t="s">
        <v>157</v>
      </c>
      <c r="C16" s="14" t="s">
        <v>50</v>
      </c>
      <c r="D16" s="24">
        <v>2.0</v>
      </c>
      <c r="E16" s="24">
        <v>0.0</v>
      </c>
      <c r="F16" s="25">
        <f t="shared" si="1"/>
        <v>0</v>
      </c>
      <c r="G16" s="14" t="s">
        <v>160</v>
      </c>
      <c r="H16" s="14" t="s">
        <v>161</v>
      </c>
      <c r="I16" s="18"/>
      <c r="J16" s="14" t="s">
        <v>163</v>
      </c>
    </row>
    <row r="17" ht="31.5" customHeight="1">
      <c r="A17" s="13">
        <v>11.0</v>
      </c>
      <c r="B17" s="14" t="s">
        <v>166</v>
      </c>
      <c r="C17" s="14" t="s">
        <v>50</v>
      </c>
      <c r="D17" s="24">
        <v>2.0</v>
      </c>
      <c r="E17" s="24">
        <v>0.0</v>
      </c>
      <c r="F17" s="25">
        <f t="shared" si="1"/>
        <v>0</v>
      </c>
      <c r="G17" s="14" t="s">
        <v>160</v>
      </c>
      <c r="H17" s="14" t="s">
        <v>161</v>
      </c>
      <c r="I17" s="18"/>
      <c r="J17" s="14" t="s">
        <v>170</v>
      </c>
    </row>
    <row r="18" ht="31.5" customHeight="1">
      <c r="A18" s="26">
        <v>12.0</v>
      </c>
      <c r="B18" s="27" t="s">
        <v>172</v>
      </c>
      <c r="C18" s="27" t="s">
        <v>50</v>
      </c>
      <c r="D18" s="28">
        <v>1.5</v>
      </c>
      <c r="E18" s="28">
        <v>0.0</v>
      </c>
      <c r="F18" s="29">
        <f t="shared" si="1"/>
        <v>0</v>
      </c>
      <c r="G18" s="27" t="s">
        <v>160</v>
      </c>
      <c r="H18" s="27" t="s">
        <v>41</v>
      </c>
      <c r="I18" s="30"/>
      <c r="J18" s="27" t="s">
        <v>178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C5:D5"/>
    <mergeCell ref="E5:F5"/>
    <mergeCell ref="A1:J1"/>
    <mergeCell ref="A2:J2"/>
    <mergeCell ref="A4:B4"/>
    <mergeCell ref="C4:D4"/>
    <mergeCell ref="E4:F4"/>
    <mergeCell ref="G4:H4"/>
    <mergeCell ref="A5:B5"/>
    <mergeCell ref="G5:H5"/>
  </mergeCells>
  <conditionalFormatting sqref="G7:G18">
    <cfRule type="containsText" dxfId="5" priority="1" operator="containsText" text="Complete">
      <formula>NOT(ISERROR(SEARCH(("Complete"),(G7))))</formula>
    </cfRule>
  </conditionalFormatting>
  <conditionalFormatting sqref="G7:G18">
    <cfRule type="containsText" dxfId="6" priority="2" operator="containsText" text="Not Started">
      <formula>NOT(ISERROR(SEARCH(("Not Started"),(G7))))</formula>
    </cfRule>
  </conditionalFormatting>
  <conditionalFormatting sqref="G7:G18">
    <cfRule type="containsText" dxfId="6" priority="3" operator="containsText" text="Waiting">
      <formula>NOT(ISERROR(SEARCH(("Waiting"),(G7))))</formula>
    </cfRule>
  </conditionalFormatting>
  <conditionalFormatting sqref="G7:G18">
    <cfRule type="containsText" dxfId="7" priority="4" operator="containsText" text="Searching">
      <formula>NOT(ISERROR(SEARCH(("Searching"),(G7))))</formula>
    </cfRule>
  </conditionalFormatting>
  <conditionalFormatting sqref="G7:G18">
    <cfRule type="containsText" dxfId="7" priority="5" operator="containsText" text="Screening">
      <formula>NOT(ISERROR(SEARCH(("Screening"),(G7))))</formula>
    </cfRule>
  </conditionalFormatting>
  <conditionalFormatting sqref="G7:G18">
    <cfRule type="containsText" dxfId="8" priority="6" operator="containsText" text="Writing">
      <formula>NOT(ISERROR(SEARCH(("Writing"),(G7))))</formula>
    </cfRule>
  </conditionalFormatting>
  <conditionalFormatting sqref="G7:G18">
    <cfRule type="containsText" dxfId="9" priority="7" operator="containsText" text="Under Review">
      <formula>NOT(ISERROR(SEARCH(("Under Review"),(G7))))</formula>
    </cfRule>
  </conditionalFormatting>
  <conditionalFormatting sqref="G7:G18">
    <cfRule type="containsText" dxfId="10" priority="8" operator="containsText" text="Revision Needed">
      <formula>NOT(ISERROR(SEARCH(("Revision Needed"),(G7))))</formula>
    </cfRule>
  </conditionalFormatting>
  <conditionalFormatting sqref="G7:G18">
    <cfRule type="containsText" dxfId="11" priority="9" operator="containsText" text="Blocked">
      <formula>NOT(ISERROR(SEARCH(("Blocked"),(G7))))</formula>
    </cfRule>
  </conditionalFormatting>
  <dataValidations>
    <dataValidation type="list" allowBlank="1" sqref="C7:C18 H7:H18">
      <formula1>"Shreesh,Jahnavi,Dwarkesh,Harshitha,Nicky,All members"</formula1>
    </dataValidation>
    <dataValidation type="decimal" allowBlank="1" sqref="D7:E18">
      <formula1>0.0</formula1>
      <formula2>100.0</formula2>
    </dataValidation>
    <dataValidation type="custom" allowBlank="1" showDropDown="1" sqref="I7:I18">
      <formula1>OR(NOT(ISERROR(DATEVALUE(I7))), AND(ISNUMBER(I7), LEFT(CELL("format", I7))="D"))</formula1>
    </dataValidation>
    <dataValidation type="list" allowBlank="1" sqref="G7:G18">
      <formula1>"Not Started,Searching,Screening,Writing,Under Review,Revision Needed,Complete,Waiting,Blocked"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14.0"/>
    <col customWidth="1" min="3" max="3" width="13.0"/>
    <col customWidth="1" min="4" max="4" width="22.0"/>
    <col customWidth="1" min="5" max="5" width="48.0"/>
    <col customWidth="1" min="6" max="6" width="28.0"/>
    <col customWidth="1" min="7" max="7" width="21.63"/>
    <col customWidth="1" min="8" max="8" width="19.0"/>
    <col customWidth="1" min="9" max="9" width="30.0"/>
    <col customWidth="1" min="10" max="25" width="8.63"/>
  </cols>
  <sheetData>
    <row r="1" ht="31.5" customHeight="1">
      <c r="A1" s="1" t="s">
        <v>0</v>
      </c>
    </row>
    <row r="2" ht="31.5" customHeight="1">
      <c r="A2" s="2" t="s">
        <v>4</v>
      </c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1.5" customHeight="1">
      <c r="A4" s="4" t="s">
        <v>11</v>
      </c>
      <c r="B4" s="4" t="s">
        <v>17</v>
      </c>
      <c r="C4" s="4" t="s">
        <v>21</v>
      </c>
      <c r="D4" s="4" t="s">
        <v>24</v>
      </c>
      <c r="E4" s="4" t="s">
        <v>29</v>
      </c>
      <c r="F4" s="4" t="s">
        <v>33</v>
      </c>
      <c r="G4" s="4" t="s">
        <v>35</v>
      </c>
      <c r="H4" s="4" t="s">
        <v>37</v>
      </c>
      <c r="I4" s="4" t="s">
        <v>40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27.75" customHeight="1">
      <c r="A5" s="7" t="s">
        <v>46</v>
      </c>
      <c r="B5" s="10" t="s">
        <v>50</v>
      </c>
      <c r="C5" s="11">
        <v>46248.0</v>
      </c>
      <c r="D5" s="10" t="s">
        <v>53</v>
      </c>
      <c r="E5" s="10" t="s">
        <v>55</v>
      </c>
      <c r="F5" s="10" t="s">
        <v>56</v>
      </c>
      <c r="G5" s="10" t="s">
        <v>57</v>
      </c>
      <c r="H5" s="10" t="s">
        <v>58</v>
      </c>
      <c r="I5" s="10" t="s">
        <v>59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7.75" customHeight="1">
      <c r="A6" s="13" t="s">
        <v>60</v>
      </c>
      <c r="B6" s="15"/>
      <c r="C6" s="16"/>
      <c r="D6" s="15"/>
      <c r="E6" s="15"/>
      <c r="F6" s="15"/>
      <c r="G6" s="17"/>
      <c r="H6" s="13"/>
      <c r="I6" s="1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7.75" customHeight="1">
      <c r="A7" s="13" t="s">
        <v>68</v>
      </c>
      <c r="B7" s="13"/>
      <c r="C7" s="18"/>
      <c r="D7" s="13"/>
      <c r="E7" s="13"/>
      <c r="F7" s="13"/>
      <c r="G7" s="17"/>
      <c r="H7" s="13"/>
      <c r="I7" s="1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7.75" customHeight="1">
      <c r="A8" s="13" t="s">
        <v>76</v>
      </c>
      <c r="B8" s="13"/>
      <c r="C8" s="18"/>
      <c r="D8" s="13"/>
      <c r="E8" s="13"/>
      <c r="F8" s="13"/>
      <c r="G8" s="17"/>
      <c r="H8" s="13"/>
      <c r="I8" s="1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27.75" customHeight="1">
      <c r="A9" s="13" t="s">
        <v>83</v>
      </c>
      <c r="B9" s="13"/>
      <c r="C9" s="18"/>
      <c r="D9" s="13"/>
      <c r="E9" s="13"/>
      <c r="F9" s="13"/>
      <c r="G9" s="17"/>
      <c r="H9" s="13"/>
      <c r="I9" s="1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7.75" customHeight="1">
      <c r="A10" s="13" t="s">
        <v>88</v>
      </c>
      <c r="B10" s="13"/>
      <c r="C10" s="18"/>
      <c r="D10" s="13"/>
      <c r="E10" s="13"/>
      <c r="F10" s="13"/>
      <c r="G10" s="17"/>
      <c r="H10" s="13"/>
      <c r="I10" s="1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7.75" customHeight="1">
      <c r="A11" s="13" t="s">
        <v>94</v>
      </c>
      <c r="B11" s="13"/>
      <c r="C11" s="18"/>
      <c r="D11" s="13"/>
      <c r="E11" s="13"/>
      <c r="F11" s="13"/>
      <c r="G11" s="17"/>
      <c r="H11" s="13"/>
      <c r="I11" s="1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7.75" customHeight="1">
      <c r="A12" s="13" t="s">
        <v>103</v>
      </c>
      <c r="B12" s="13"/>
      <c r="C12" s="18"/>
      <c r="D12" s="13"/>
      <c r="E12" s="13"/>
      <c r="F12" s="13"/>
      <c r="G12" s="17"/>
      <c r="H12" s="13"/>
      <c r="I12" s="1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7.75" customHeight="1">
      <c r="A13" s="13" t="s">
        <v>108</v>
      </c>
      <c r="B13" s="13"/>
      <c r="C13" s="18"/>
      <c r="D13" s="13"/>
      <c r="E13" s="13"/>
      <c r="F13" s="13"/>
      <c r="G13" s="17"/>
      <c r="H13" s="13"/>
      <c r="I13" s="1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7.75" customHeight="1">
      <c r="A14" s="13" t="s">
        <v>112</v>
      </c>
      <c r="B14" s="13"/>
      <c r="C14" s="18"/>
      <c r="D14" s="13"/>
      <c r="E14" s="13"/>
      <c r="F14" s="13"/>
      <c r="G14" s="17"/>
      <c r="H14" s="13"/>
      <c r="I14" s="1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7.75" customHeight="1">
      <c r="A15" s="13" t="s">
        <v>120</v>
      </c>
      <c r="B15" s="13"/>
      <c r="C15" s="18"/>
      <c r="D15" s="13"/>
      <c r="E15" s="13"/>
      <c r="F15" s="13"/>
      <c r="G15" s="17"/>
      <c r="H15" s="13"/>
      <c r="I15" s="1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7.75" customHeight="1">
      <c r="A16" s="13" t="s">
        <v>123</v>
      </c>
      <c r="B16" s="13"/>
      <c r="C16" s="18"/>
      <c r="D16" s="13"/>
      <c r="E16" s="13"/>
      <c r="F16" s="13"/>
      <c r="G16" s="17"/>
      <c r="H16" s="13"/>
      <c r="I16" s="1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7.75" customHeight="1">
      <c r="A17" s="13" t="s">
        <v>127</v>
      </c>
      <c r="B17" s="13"/>
      <c r="C17" s="18"/>
      <c r="D17" s="13"/>
      <c r="E17" s="13"/>
      <c r="F17" s="13"/>
      <c r="G17" s="17"/>
      <c r="H17" s="13"/>
      <c r="I17" s="1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7.75" customHeight="1">
      <c r="A18" s="13" t="s">
        <v>132</v>
      </c>
      <c r="B18" s="13"/>
      <c r="C18" s="18"/>
      <c r="D18" s="13"/>
      <c r="E18" s="13"/>
      <c r="F18" s="13"/>
      <c r="G18" s="17"/>
      <c r="H18" s="13"/>
      <c r="I18" s="1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7.75" customHeight="1">
      <c r="A19" s="13" t="s">
        <v>137</v>
      </c>
      <c r="B19" s="13"/>
      <c r="C19" s="18"/>
      <c r="D19" s="13"/>
      <c r="E19" s="13"/>
      <c r="F19" s="13"/>
      <c r="G19" s="17"/>
      <c r="H19" s="13"/>
      <c r="I19" s="1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7.75" customHeight="1">
      <c r="A20" s="13" t="s">
        <v>141</v>
      </c>
      <c r="B20" s="13"/>
      <c r="C20" s="18"/>
      <c r="D20" s="13"/>
      <c r="E20" s="13"/>
      <c r="F20" s="13"/>
      <c r="G20" s="17"/>
      <c r="H20" s="13"/>
      <c r="I20" s="1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7.75" customHeight="1">
      <c r="A21" s="13" t="s">
        <v>146</v>
      </c>
      <c r="B21" s="13"/>
      <c r="C21" s="18"/>
      <c r="D21" s="13"/>
      <c r="E21" s="13"/>
      <c r="F21" s="13"/>
      <c r="G21" s="17"/>
      <c r="H21" s="13"/>
      <c r="I21" s="1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7.75" customHeight="1">
      <c r="A22" s="13" t="s">
        <v>149</v>
      </c>
      <c r="B22" s="13"/>
      <c r="C22" s="18"/>
      <c r="D22" s="13"/>
      <c r="E22" s="13"/>
      <c r="F22" s="13"/>
      <c r="G22" s="17"/>
      <c r="H22" s="13"/>
      <c r="I22" s="1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7.75" customHeight="1">
      <c r="A23" s="13" t="s">
        <v>153</v>
      </c>
      <c r="B23" s="13"/>
      <c r="C23" s="18"/>
      <c r="D23" s="13"/>
      <c r="E23" s="13"/>
      <c r="F23" s="13"/>
      <c r="G23" s="17"/>
      <c r="H23" s="13"/>
      <c r="I23" s="1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7.75" customHeight="1">
      <c r="A24" s="13" t="s">
        <v>159</v>
      </c>
      <c r="B24" s="13"/>
      <c r="C24" s="18"/>
      <c r="D24" s="13"/>
      <c r="E24" s="13"/>
      <c r="F24" s="13"/>
      <c r="G24" s="17"/>
      <c r="H24" s="13"/>
      <c r="I24" s="1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7.75" customHeight="1">
      <c r="A25" s="13" t="s">
        <v>165</v>
      </c>
      <c r="B25" s="13"/>
      <c r="C25" s="18"/>
      <c r="D25" s="13"/>
      <c r="E25" s="13"/>
      <c r="F25" s="13"/>
      <c r="G25" s="17"/>
      <c r="H25" s="13"/>
      <c r="I25" s="1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7.75" customHeight="1">
      <c r="A26" s="13" t="s">
        <v>169</v>
      </c>
      <c r="B26" s="13"/>
      <c r="C26" s="18"/>
      <c r="D26" s="13"/>
      <c r="E26" s="13"/>
      <c r="F26" s="13"/>
      <c r="G26" s="17"/>
      <c r="H26" s="13"/>
      <c r="I26" s="1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7.75" customHeight="1">
      <c r="A27" s="13" t="s">
        <v>173</v>
      </c>
      <c r="B27" s="13"/>
      <c r="C27" s="18"/>
      <c r="D27" s="13"/>
      <c r="E27" s="13"/>
      <c r="F27" s="13"/>
      <c r="G27" s="17"/>
      <c r="H27" s="13"/>
      <c r="I27" s="1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7.75" customHeight="1">
      <c r="A28" s="13" t="s">
        <v>176</v>
      </c>
      <c r="B28" s="13"/>
      <c r="C28" s="18"/>
      <c r="D28" s="13"/>
      <c r="E28" s="13"/>
      <c r="F28" s="13"/>
      <c r="G28" s="17"/>
      <c r="H28" s="13"/>
      <c r="I28" s="1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7.75" customHeight="1">
      <c r="A29" s="13" t="s">
        <v>180</v>
      </c>
      <c r="B29" s="13"/>
      <c r="C29" s="18"/>
      <c r="D29" s="13"/>
      <c r="E29" s="13"/>
      <c r="F29" s="13"/>
      <c r="G29" s="17"/>
      <c r="H29" s="13"/>
      <c r="I29" s="1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7.75" customHeight="1">
      <c r="A30" s="13" t="s">
        <v>183</v>
      </c>
      <c r="B30" s="13"/>
      <c r="C30" s="18"/>
      <c r="D30" s="13"/>
      <c r="E30" s="13"/>
      <c r="F30" s="13"/>
      <c r="G30" s="17"/>
      <c r="H30" s="13"/>
      <c r="I30" s="1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7.75" customHeight="1">
      <c r="A31" s="13" t="s">
        <v>186</v>
      </c>
      <c r="B31" s="13"/>
      <c r="C31" s="18"/>
      <c r="D31" s="13"/>
      <c r="E31" s="13"/>
      <c r="F31" s="13"/>
      <c r="G31" s="17"/>
      <c r="H31" s="13"/>
      <c r="I31" s="1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27.75" customHeight="1">
      <c r="A32" s="13" t="s">
        <v>188</v>
      </c>
      <c r="B32" s="13"/>
      <c r="C32" s="18"/>
      <c r="D32" s="13"/>
      <c r="E32" s="13"/>
      <c r="F32" s="13"/>
      <c r="G32" s="17"/>
      <c r="H32" s="13"/>
      <c r="I32" s="1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7.75" customHeight="1">
      <c r="A33" s="13" t="s">
        <v>190</v>
      </c>
      <c r="B33" s="13"/>
      <c r="C33" s="18"/>
      <c r="D33" s="13"/>
      <c r="E33" s="13"/>
      <c r="F33" s="13"/>
      <c r="G33" s="17"/>
      <c r="H33" s="13"/>
      <c r="I33" s="1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7.75" customHeight="1">
      <c r="A34" s="26" t="s">
        <v>191</v>
      </c>
      <c r="B34" s="26"/>
      <c r="C34" s="30"/>
      <c r="D34" s="26"/>
      <c r="E34" s="26"/>
      <c r="F34" s="26"/>
      <c r="G34" s="31"/>
      <c r="H34" s="26"/>
      <c r="I34" s="26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dataValidations>
    <dataValidation type="custom" allowBlank="1" showDropDown="1" sqref="C5:C34">
      <formula1>OR(NOT(ISERROR(DATEVALUE(C5))), AND(ISNUMBER(C5), LEFT(CELL("format", C5))="D"))</formula1>
    </dataValidation>
    <dataValidation allowBlank="1" showDropDown="1" sqref="G5:G34"/>
    <dataValidation type="list" allowBlank="1" sqref="B5:B34">
      <formula1>"Shreesh,Jahnavi,Dwarkesh,Harshitha,Nicky"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14.0"/>
    <col customWidth="1" min="3" max="3" width="24.0"/>
    <col customWidth="1" min="4" max="4" width="9.0"/>
    <col customWidth="1" min="5" max="5" width="42.0"/>
    <col customWidth="1" min="6" max="6" width="22.0"/>
    <col customWidth="1" min="7" max="7" width="24.0"/>
    <col customWidth="1" min="8" max="8" width="34.0"/>
    <col customWidth="1" min="9" max="11" width="18.0"/>
    <col customWidth="1" min="12" max="12" width="28.0"/>
    <col customWidth="1" min="13" max="13" width="12.0"/>
    <col customWidth="1" min="14" max="14" width="20.0"/>
    <col customWidth="1" min="15" max="26" width="8.63"/>
  </cols>
  <sheetData>
    <row r="1" ht="31.5" customHeight="1">
      <c r="A1" s="1" t="s">
        <v>3</v>
      </c>
    </row>
    <row r="2" ht="31.5" customHeight="1">
      <c r="A2" s="2" t="s">
        <v>5</v>
      </c>
    </row>
    <row r="4" ht="31.5" customHeight="1">
      <c r="A4" s="4" t="s">
        <v>7</v>
      </c>
      <c r="B4" s="4" t="s">
        <v>15</v>
      </c>
      <c r="C4" s="4" t="s">
        <v>22</v>
      </c>
      <c r="D4" s="4" t="s">
        <v>27</v>
      </c>
      <c r="E4" s="4" t="s">
        <v>30</v>
      </c>
      <c r="F4" s="4" t="s">
        <v>32</v>
      </c>
      <c r="G4" s="4" t="s">
        <v>34</v>
      </c>
      <c r="H4" s="4" t="s">
        <v>38</v>
      </c>
      <c r="I4" s="4" t="s">
        <v>39</v>
      </c>
      <c r="J4" s="4" t="s">
        <v>42</v>
      </c>
      <c r="K4" s="4" t="s">
        <v>43</v>
      </c>
      <c r="L4" s="4" t="s">
        <v>45</v>
      </c>
      <c r="M4" s="4" t="s">
        <v>48</v>
      </c>
      <c r="N4" s="4" t="s">
        <v>49</v>
      </c>
    </row>
    <row r="5" ht="27.75" customHeight="1">
      <c r="A5" s="7" t="s">
        <v>51</v>
      </c>
      <c r="B5" s="10" t="s">
        <v>50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27.75" customHeight="1">
      <c r="A6" s="13" t="s">
        <v>63</v>
      </c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ht="27.75" customHeight="1">
      <c r="A7" s="13" t="s">
        <v>74</v>
      </c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</row>
    <row r="8" ht="27.75" customHeight="1">
      <c r="A8" s="13" t="s">
        <v>84</v>
      </c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</row>
    <row r="9" ht="27.75" customHeight="1">
      <c r="A9" s="13" t="s">
        <v>90</v>
      </c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ht="27.75" customHeight="1">
      <c r="A10" s="13" t="s">
        <v>98</v>
      </c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ht="27.75" customHeight="1">
      <c r="A11" s="13" t="s">
        <v>104</v>
      </c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</row>
    <row r="12" ht="27.75" customHeight="1">
      <c r="A12" s="13" t="s">
        <v>111</v>
      </c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ht="27.75" customHeight="1">
      <c r="A13" s="13" t="s">
        <v>116</v>
      </c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</row>
    <row r="14" ht="27.75" customHeight="1">
      <c r="A14" s="13" t="s">
        <v>122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ht="27.75" customHeight="1">
      <c r="A15" s="13" t="s">
        <v>128</v>
      </c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</row>
    <row r="16" ht="27.75" customHeight="1">
      <c r="A16" s="13" t="s">
        <v>133</v>
      </c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</row>
    <row r="17" ht="27.75" customHeight="1">
      <c r="A17" s="13" t="s">
        <v>139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</row>
    <row r="18" ht="27.75" customHeight="1">
      <c r="A18" s="13" t="s">
        <v>145</v>
      </c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</row>
    <row r="19" ht="27.75" customHeight="1">
      <c r="A19" s="13" t="s">
        <v>150</v>
      </c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</row>
    <row r="20" ht="27.75" customHeight="1">
      <c r="A20" s="13" t="s">
        <v>155</v>
      </c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</row>
    <row r="21" ht="27.75" customHeight="1">
      <c r="A21" s="13" t="s">
        <v>162</v>
      </c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</row>
    <row r="22" ht="27.75" customHeight="1">
      <c r="A22" s="13" t="s">
        <v>168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</row>
    <row r="23" ht="27.75" customHeight="1">
      <c r="A23" s="13" t="s">
        <v>174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</row>
    <row r="24" ht="27.75" customHeight="1">
      <c r="A24" s="13" t="s">
        <v>179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</row>
    <row r="25" ht="27.75" customHeight="1">
      <c r="A25" s="13" t="s">
        <v>184</v>
      </c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ht="27.75" customHeight="1">
      <c r="A26" s="13" t="s">
        <v>187</v>
      </c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</row>
    <row r="27" ht="27.75" customHeight="1">
      <c r="A27" s="13" t="s">
        <v>189</v>
      </c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</row>
    <row r="28" ht="27.75" customHeight="1">
      <c r="A28" s="13" t="s">
        <v>192</v>
      </c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ht="27.75" customHeight="1">
      <c r="A29" s="13" t="s">
        <v>193</v>
      </c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</row>
    <row r="30" ht="27.75" customHeight="1">
      <c r="A30" s="13" t="s">
        <v>194</v>
      </c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</row>
    <row r="31" ht="27.75" customHeight="1">
      <c r="A31" s="13" t="s">
        <v>195</v>
      </c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</row>
    <row r="32" ht="27.75" customHeight="1">
      <c r="A32" s="13" t="s">
        <v>196</v>
      </c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</row>
    <row r="33" ht="27.75" customHeight="1">
      <c r="A33" s="13" t="s">
        <v>197</v>
      </c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</row>
    <row r="34" ht="27.75" customHeight="1">
      <c r="A34" s="13" t="s">
        <v>198</v>
      </c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</row>
    <row r="35" ht="27.75" customHeight="1">
      <c r="A35" s="13" t="s">
        <v>199</v>
      </c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</row>
    <row r="36" ht="27.75" customHeight="1">
      <c r="A36" s="13" t="s">
        <v>200</v>
      </c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</row>
    <row r="37" ht="27.75" customHeight="1">
      <c r="A37" s="13" t="s">
        <v>201</v>
      </c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</row>
    <row r="38" ht="27.75" customHeight="1">
      <c r="A38" s="13" t="s">
        <v>205</v>
      </c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 ht="27.75" customHeight="1">
      <c r="A39" s="13" t="s">
        <v>215</v>
      </c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 ht="27.75" customHeight="1">
      <c r="A40" s="13" t="s">
        <v>217</v>
      </c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 ht="27.75" customHeight="1">
      <c r="A41" s="13" t="s">
        <v>219</v>
      </c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ht="27.75" customHeight="1">
      <c r="A42" s="13" t="s">
        <v>221</v>
      </c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ht="27.75" customHeight="1">
      <c r="A43" s="13" t="s">
        <v>223</v>
      </c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ht="27.75" customHeight="1">
      <c r="A44" s="13" t="s">
        <v>225</v>
      </c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ht="27.75" customHeight="1">
      <c r="A45" s="13" t="s">
        <v>227</v>
      </c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ht="27.75" customHeight="1">
      <c r="A46" s="13" t="s">
        <v>229</v>
      </c>
      <c r="B46" s="13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ht="27.75" customHeight="1">
      <c r="A47" s="13" t="s">
        <v>231</v>
      </c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ht="27.75" customHeight="1">
      <c r="A48" s="13" t="s">
        <v>233</v>
      </c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ht="27.75" customHeight="1">
      <c r="A49" s="13" t="s">
        <v>235</v>
      </c>
      <c r="B49" s="1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ht="27.75" customHeight="1">
      <c r="A50" s="13" t="s">
        <v>238</v>
      </c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ht="27.75" customHeight="1">
      <c r="A51" s="13" t="s">
        <v>240</v>
      </c>
      <c r="B51" s="13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 ht="27.75" customHeight="1">
      <c r="A52" s="13" t="s">
        <v>242</v>
      </c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  <row r="53" ht="27.75" customHeight="1">
      <c r="A53" s="13" t="s">
        <v>244</v>
      </c>
      <c r="B53" s="13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ht="27.75" customHeight="1">
      <c r="A54" s="26" t="s">
        <v>246</v>
      </c>
      <c r="B54" s="26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conditionalFormatting sqref="M5:M54">
    <cfRule type="containsText" dxfId="5" priority="1" operator="containsText" text="High">
      <formula>NOT(ISERROR(SEARCH(("High"),(M5))))</formula>
    </cfRule>
  </conditionalFormatting>
  <conditionalFormatting sqref="M5:M54">
    <cfRule type="containsText" dxfId="7" priority="2" operator="containsText" text="Medium">
      <formula>NOT(ISERROR(SEARCH(("Medium"),(M5))))</formula>
    </cfRule>
  </conditionalFormatting>
  <conditionalFormatting sqref="M5:M54">
    <cfRule type="containsText" dxfId="11" priority="3" operator="containsText" text="Low">
      <formula>NOT(ISERROR(SEARCH(("Low"),(M5))))</formula>
    </cfRule>
  </conditionalFormatting>
  <conditionalFormatting sqref="N5:N54">
    <cfRule type="containsText" dxfId="5" priority="4" operator="containsText" text="Selected">
      <formula>NOT(ISERROR(SEARCH(("Selected"),(N5))))</formula>
    </cfRule>
  </conditionalFormatting>
  <conditionalFormatting sqref="N5:N54">
    <cfRule type="containsText" dxfId="11" priority="5" operator="containsText" text="Excluded">
      <formula>NOT(ISERROR(SEARCH(("Excluded"),(N5))))</formula>
    </cfRule>
  </conditionalFormatting>
  <conditionalFormatting sqref="N5:N54">
    <cfRule type="containsText" dxfId="7" priority="6" operator="containsText" text="Pending verification">
      <formula>NOT(ISERROR(SEARCH(("Pending verification"),(N5))))</formula>
    </cfRule>
  </conditionalFormatting>
  <conditionalFormatting sqref="N5:N54">
    <cfRule type="containsText" dxfId="6" priority="7" operator="containsText" text="Duplicate">
      <formula>NOT(ISERROR(SEARCH(("Duplicate"),(N5))))</formula>
    </cfRule>
  </conditionalFormatting>
  <dataValidations>
    <dataValidation type="list" allowBlank="1" sqref="F5:F54">
      <formula1>"Journal article,Conference paper,Book or chapter,Thesis,Review paper,Technical documentation,Industry report,Preprint"</formula1>
    </dataValidation>
    <dataValidation type="decimal" allowBlank="1" sqref="D5:D54">
      <formula1>1900.0</formula1>
      <formula2>2100.0</formula2>
    </dataValidation>
    <dataValidation type="list" allowBlank="1" sqref="M5:M54">
      <formula1>"High,Medium,Low"</formula1>
    </dataValidation>
    <dataValidation type="list" allowBlank="1" sqref="J5:K54">
      <formula1>"Include,Exclude,Uncertain"</formula1>
    </dataValidation>
    <dataValidation type="list" allowBlank="1" sqref="N5:N54">
      <formula1>"Selected,Excluded,Pending verification,Duplicate"</formula1>
    </dataValidation>
    <dataValidation type="list" allowBlank="1" sqref="B5:B54">
      <formula1>"Shreesh,Jahnavi,Dwarkesh,Harshitha,Nicky"</formula1>
    </dataValidation>
    <dataValidation type="list" allowBlank="1" sqref="I5:I54">
      <formula1>"Yes,No"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14.0"/>
    <col customWidth="1" min="3" max="3" width="16.0"/>
    <col customWidth="1" min="4" max="4" width="19.0"/>
    <col customWidth="1" min="5" max="5" width="22.0"/>
    <col customWidth="1" min="6" max="6" width="44.0"/>
    <col customWidth="1" min="7" max="8" width="32.0"/>
    <col customWidth="1" min="9" max="10" width="16.0"/>
    <col customWidth="1" min="11" max="26" width="8.63"/>
  </cols>
  <sheetData>
    <row r="1" ht="31.5" customHeight="1">
      <c r="A1" s="1" t="s">
        <v>1</v>
      </c>
    </row>
    <row r="2" ht="31.5" customHeight="1">
      <c r="A2" s="2" t="s">
        <v>6</v>
      </c>
    </row>
    <row r="4" ht="31.5" customHeight="1">
      <c r="A4" s="4" t="s">
        <v>8</v>
      </c>
      <c r="B4" s="4" t="s">
        <v>12</v>
      </c>
      <c r="C4" s="4" t="s">
        <v>13</v>
      </c>
      <c r="D4" s="4" t="s">
        <v>14</v>
      </c>
      <c r="E4" s="4" t="s">
        <v>18</v>
      </c>
      <c r="F4" s="4" t="s">
        <v>19</v>
      </c>
      <c r="G4" s="4" t="s">
        <v>23</v>
      </c>
      <c r="H4" s="4" t="s">
        <v>26</v>
      </c>
      <c r="I4" s="4" t="s">
        <v>28</v>
      </c>
      <c r="J4" s="4" t="s">
        <v>31</v>
      </c>
    </row>
    <row r="5" ht="33.75" customHeight="1">
      <c r="A5" s="7" t="s">
        <v>36</v>
      </c>
      <c r="B5" s="7" t="s">
        <v>41</v>
      </c>
      <c r="C5" s="7"/>
      <c r="D5" s="7" t="s">
        <v>44</v>
      </c>
      <c r="E5" s="7" t="s">
        <v>47</v>
      </c>
      <c r="F5" s="9"/>
      <c r="G5" s="9"/>
      <c r="H5" s="9"/>
      <c r="I5" s="9" t="s">
        <v>52</v>
      </c>
      <c r="J5" s="9" t="s">
        <v>52</v>
      </c>
    </row>
    <row r="6" ht="33.75" customHeight="1">
      <c r="A6" s="13" t="s">
        <v>54</v>
      </c>
      <c r="B6" s="13" t="s">
        <v>41</v>
      </c>
      <c r="C6" s="13"/>
      <c r="D6" s="13" t="s">
        <v>44</v>
      </c>
      <c r="E6" s="13" t="s">
        <v>47</v>
      </c>
      <c r="F6" s="14"/>
      <c r="G6" s="14"/>
      <c r="H6" s="14"/>
      <c r="I6" s="14" t="s">
        <v>52</v>
      </c>
      <c r="J6" s="14" t="s">
        <v>52</v>
      </c>
    </row>
    <row r="7" ht="33.75" customHeight="1">
      <c r="A7" s="13" t="s">
        <v>61</v>
      </c>
      <c r="B7" s="13" t="s">
        <v>41</v>
      </c>
      <c r="C7" s="13"/>
      <c r="D7" s="13" t="s">
        <v>64</v>
      </c>
      <c r="E7" s="13" t="s">
        <v>65</v>
      </c>
      <c r="F7" s="14"/>
      <c r="G7" s="14"/>
      <c r="H7" s="14"/>
      <c r="I7" s="14" t="s">
        <v>52</v>
      </c>
      <c r="J7" s="14" t="s">
        <v>52</v>
      </c>
    </row>
    <row r="8" ht="33.75" customHeight="1">
      <c r="A8" s="13" t="s">
        <v>70</v>
      </c>
      <c r="B8" s="13" t="s">
        <v>41</v>
      </c>
      <c r="C8" s="13"/>
      <c r="D8" s="13" t="s">
        <v>64</v>
      </c>
      <c r="E8" s="13" t="s">
        <v>65</v>
      </c>
      <c r="F8" s="14"/>
      <c r="G8" s="14"/>
      <c r="H8" s="14"/>
      <c r="I8" s="14" t="s">
        <v>52</v>
      </c>
      <c r="J8" s="14" t="s">
        <v>52</v>
      </c>
    </row>
    <row r="9" ht="33.75" customHeight="1">
      <c r="A9" s="13" t="s">
        <v>79</v>
      </c>
      <c r="B9" s="13" t="s">
        <v>41</v>
      </c>
      <c r="C9" s="13"/>
      <c r="D9" s="13" t="s">
        <v>80</v>
      </c>
      <c r="E9" s="13" t="s">
        <v>82</v>
      </c>
      <c r="F9" s="14"/>
      <c r="G9" s="14"/>
      <c r="H9" s="14"/>
      <c r="I9" s="14" t="s">
        <v>52</v>
      </c>
      <c r="J9" s="14" t="s">
        <v>52</v>
      </c>
    </row>
    <row r="10" ht="33.75" customHeight="1">
      <c r="A10" s="13" t="s">
        <v>85</v>
      </c>
      <c r="B10" s="13" t="s">
        <v>41</v>
      </c>
      <c r="C10" s="13"/>
      <c r="D10" s="13" t="s">
        <v>86</v>
      </c>
      <c r="E10" s="13" t="s">
        <v>87</v>
      </c>
      <c r="F10" s="14"/>
      <c r="G10" s="14"/>
      <c r="H10" s="14"/>
      <c r="I10" s="14" t="s">
        <v>52</v>
      </c>
      <c r="J10" s="14" t="s">
        <v>52</v>
      </c>
    </row>
    <row r="11" ht="33.75" customHeight="1">
      <c r="A11" s="13" t="s">
        <v>89</v>
      </c>
      <c r="B11" s="13" t="s">
        <v>41</v>
      </c>
      <c r="C11" s="13"/>
      <c r="D11" s="13" t="s">
        <v>91</v>
      </c>
      <c r="E11" s="13" t="s">
        <v>93</v>
      </c>
      <c r="F11" s="14"/>
      <c r="G11" s="14"/>
      <c r="H11" s="14"/>
      <c r="I11" s="14" t="s">
        <v>52</v>
      </c>
      <c r="J11" s="14" t="s">
        <v>52</v>
      </c>
    </row>
    <row r="12" ht="33.75" customHeight="1">
      <c r="A12" s="13" t="s">
        <v>96</v>
      </c>
      <c r="B12" s="13" t="s">
        <v>41</v>
      </c>
      <c r="C12" s="13"/>
      <c r="D12" s="13" t="s">
        <v>97</v>
      </c>
      <c r="E12" s="13" t="s">
        <v>99</v>
      </c>
      <c r="F12" s="14"/>
      <c r="G12" s="14"/>
      <c r="H12" s="14"/>
      <c r="I12" s="14" t="s">
        <v>52</v>
      </c>
      <c r="J12" s="14" t="s">
        <v>52</v>
      </c>
    </row>
    <row r="13" ht="33.75" customHeight="1">
      <c r="A13" s="13" t="s">
        <v>102</v>
      </c>
      <c r="B13" s="13" t="s">
        <v>101</v>
      </c>
      <c r="C13" s="13"/>
      <c r="D13" s="13" t="s">
        <v>44</v>
      </c>
      <c r="E13" s="13" t="s">
        <v>47</v>
      </c>
      <c r="F13" s="14"/>
      <c r="G13" s="14"/>
      <c r="H13" s="14"/>
      <c r="I13" s="14" t="s">
        <v>52</v>
      </c>
      <c r="J13" s="14" t="s">
        <v>52</v>
      </c>
    </row>
    <row r="14" ht="33.75" customHeight="1">
      <c r="A14" s="13" t="s">
        <v>106</v>
      </c>
      <c r="B14" s="13" t="s">
        <v>101</v>
      </c>
      <c r="C14" s="13"/>
      <c r="D14" s="13" t="s">
        <v>44</v>
      </c>
      <c r="E14" s="13" t="s">
        <v>47</v>
      </c>
      <c r="F14" s="14"/>
      <c r="G14" s="14"/>
      <c r="H14" s="14"/>
      <c r="I14" s="14" t="s">
        <v>52</v>
      </c>
      <c r="J14" s="14" t="s">
        <v>52</v>
      </c>
    </row>
    <row r="15" ht="33.75" customHeight="1">
      <c r="A15" s="13" t="s">
        <v>110</v>
      </c>
      <c r="B15" s="13" t="s">
        <v>101</v>
      </c>
      <c r="C15" s="13"/>
      <c r="D15" s="13" t="s">
        <v>64</v>
      </c>
      <c r="E15" s="13" t="s">
        <v>65</v>
      </c>
      <c r="F15" s="14"/>
      <c r="G15" s="14"/>
      <c r="H15" s="14"/>
      <c r="I15" s="14" t="s">
        <v>52</v>
      </c>
      <c r="J15" s="14" t="s">
        <v>52</v>
      </c>
    </row>
    <row r="16" ht="33.75" customHeight="1">
      <c r="A16" s="13" t="s">
        <v>113</v>
      </c>
      <c r="B16" s="13" t="s">
        <v>101</v>
      </c>
      <c r="C16" s="13"/>
      <c r="D16" s="13" t="s">
        <v>64</v>
      </c>
      <c r="E16" s="13" t="s">
        <v>65</v>
      </c>
      <c r="F16" s="14"/>
      <c r="G16" s="14"/>
      <c r="H16" s="14"/>
      <c r="I16" s="14" t="s">
        <v>52</v>
      </c>
      <c r="J16" s="14" t="s">
        <v>52</v>
      </c>
    </row>
    <row r="17" ht="33.75" customHeight="1">
      <c r="A17" s="13" t="s">
        <v>118</v>
      </c>
      <c r="B17" s="13" t="s">
        <v>101</v>
      </c>
      <c r="C17" s="13"/>
      <c r="D17" s="13" t="s">
        <v>80</v>
      </c>
      <c r="E17" s="13" t="s">
        <v>82</v>
      </c>
      <c r="F17" s="14"/>
      <c r="G17" s="14"/>
      <c r="H17" s="14"/>
      <c r="I17" s="14" t="s">
        <v>52</v>
      </c>
      <c r="J17" s="14" t="s">
        <v>52</v>
      </c>
    </row>
    <row r="18" ht="33.75" customHeight="1">
      <c r="A18" s="13" t="s">
        <v>121</v>
      </c>
      <c r="B18" s="13" t="s">
        <v>101</v>
      </c>
      <c r="C18" s="13"/>
      <c r="D18" s="13" t="s">
        <v>86</v>
      </c>
      <c r="E18" s="13" t="s">
        <v>87</v>
      </c>
      <c r="F18" s="14"/>
      <c r="G18" s="14"/>
      <c r="H18" s="14"/>
      <c r="I18" s="14" t="s">
        <v>52</v>
      </c>
      <c r="J18" s="14" t="s">
        <v>52</v>
      </c>
    </row>
    <row r="19" ht="33.75" customHeight="1">
      <c r="A19" s="13" t="s">
        <v>126</v>
      </c>
      <c r="B19" s="13" t="s">
        <v>101</v>
      </c>
      <c r="C19" s="13"/>
      <c r="D19" s="13" t="s">
        <v>91</v>
      </c>
      <c r="E19" s="13" t="s">
        <v>93</v>
      </c>
      <c r="F19" s="14"/>
      <c r="G19" s="14"/>
      <c r="H19" s="14"/>
      <c r="I19" s="14" t="s">
        <v>52</v>
      </c>
      <c r="J19" s="14" t="s">
        <v>52</v>
      </c>
    </row>
    <row r="20" ht="33.75" customHeight="1">
      <c r="A20" s="13" t="s">
        <v>129</v>
      </c>
      <c r="B20" s="13" t="s">
        <v>101</v>
      </c>
      <c r="C20" s="13"/>
      <c r="D20" s="13" t="s">
        <v>97</v>
      </c>
      <c r="E20" s="13" t="s">
        <v>99</v>
      </c>
      <c r="F20" s="14"/>
      <c r="G20" s="14"/>
      <c r="H20" s="14"/>
      <c r="I20" s="14" t="s">
        <v>52</v>
      </c>
      <c r="J20" s="14" t="s">
        <v>52</v>
      </c>
    </row>
    <row r="21" ht="33.75" customHeight="1">
      <c r="A21" s="13" t="s">
        <v>134</v>
      </c>
      <c r="B21" s="13" t="s">
        <v>114</v>
      </c>
      <c r="C21" s="13"/>
      <c r="D21" s="13" t="s">
        <v>44</v>
      </c>
      <c r="E21" s="13" t="s">
        <v>47</v>
      </c>
      <c r="F21" s="14"/>
      <c r="G21" s="14"/>
      <c r="H21" s="14"/>
      <c r="I21" s="14" t="s">
        <v>52</v>
      </c>
      <c r="J21" s="14" t="s">
        <v>52</v>
      </c>
    </row>
    <row r="22" ht="33.75" customHeight="1">
      <c r="A22" s="13" t="s">
        <v>136</v>
      </c>
      <c r="B22" s="13" t="s">
        <v>114</v>
      </c>
      <c r="C22" s="13"/>
      <c r="D22" s="13" t="s">
        <v>44</v>
      </c>
      <c r="E22" s="13" t="s">
        <v>47</v>
      </c>
      <c r="F22" s="14"/>
      <c r="G22" s="14"/>
      <c r="H22" s="14"/>
      <c r="I22" s="14" t="s">
        <v>52</v>
      </c>
      <c r="J22" s="14" t="s">
        <v>52</v>
      </c>
    </row>
    <row r="23" ht="33.75" customHeight="1">
      <c r="A23" s="13" t="s">
        <v>140</v>
      </c>
      <c r="B23" s="13" t="s">
        <v>114</v>
      </c>
      <c r="C23" s="13"/>
      <c r="D23" s="13" t="s">
        <v>64</v>
      </c>
      <c r="E23" s="13" t="s">
        <v>65</v>
      </c>
      <c r="F23" s="14"/>
      <c r="G23" s="14"/>
      <c r="H23" s="14"/>
      <c r="I23" s="14" t="s">
        <v>52</v>
      </c>
      <c r="J23" s="14" t="s">
        <v>52</v>
      </c>
    </row>
    <row r="24" ht="33.75" customHeight="1">
      <c r="A24" s="13" t="s">
        <v>143</v>
      </c>
      <c r="B24" s="13" t="s">
        <v>114</v>
      </c>
      <c r="C24" s="13"/>
      <c r="D24" s="13" t="s">
        <v>64</v>
      </c>
      <c r="E24" s="13" t="s">
        <v>65</v>
      </c>
      <c r="F24" s="14"/>
      <c r="G24" s="14"/>
      <c r="H24" s="14"/>
      <c r="I24" s="14" t="s">
        <v>52</v>
      </c>
      <c r="J24" s="14" t="s">
        <v>52</v>
      </c>
    </row>
    <row r="25" ht="33.75" customHeight="1">
      <c r="A25" s="13" t="s">
        <v>147</v>
      </c>
      <c r="B25" s="13" t="s">
        <v>114</v>
      </c>
      <c r="C25" s="13"/>
      <c r="D25" s="13" t="s">
        <v>80</v>
      </c>
      <c r="E25" s="13" t="s">
        <v>82</v>
      </c>
      <c r="F25" s="14"/>
      <c r="G25" s="14"/>
      <c r="H25" s="14"/>
      <c r="I25" s="14" t="s">
        <v>52</v>
      </c>
      <c r="J25" s="14" t="s">
        <v>52</v>
      </c>
    </row>
    <row r="26" ht="33.75" customHeight="1">
      <c r="A26" s="13" t="s">
        <v>152</v>
      </c>
      <c r="B26" s="13" t="s">
        <v>114</v>
      </c>
      <c r="C26" s="13"/>
      <c r="D26" s="13" t="s">
        <v>86</v>
      </c>
      <c r="E26" s="13" t="s">
        <v>87</v>
      </c>
      <c r="F26" s="14"/>
      <c r="G26" s="14"/>
      <c r="H26" s="14"/>
      <c r="I26" s="14" t="s">
        <v>52</v>
      </c>
      <c r="J26" s="14" t="s">
        <v>52</v>
      </c>
    </row>
    <row r="27" ht="33.75" customHeight="1">
      <c r="A27" s="13" t="s">
        <v>154</v>
      </c>
      <c r="B27" s="13" t="s">
        <v>114</v>
      </c>
      <c r="C27" s="13"/>
      <c r="D27" s="13" t="s">
        <v>91</v>
      </c>
      <c r="E27" s="13" t="s">
        <v>93</v>
      </c>
      <c r="F27" s="14"/>
      <c r="G27" s="14"/>
      <c r="H27" s="14"/>
      <c r="I27" s="14" t="s">
        <v>52</v>
      </c>
      <c r="J27" s="14" t="s">
        <v>52</v>
      </c>
    </row>
    <row r="28" ht="33.75" customHeight="1">
      <c r="A28" s="13" t="s">
        <v>158</v>
      </c>
      <c r="B28" s="13" t="s">
        <v>114</v>
      </c>
      <c r="C28" s="13"/>
      <c r="D28" s="13" t="s">
        <v>97</v>
      </c>
      <c r="E28" s="13" t="s">
        <v>99</v>
      </c>
      <c r="F28" s="14"/>
      <c r="G28" s="14"/>
      <c r="H28" s="14"/>
      <c r="I28" s="14" t="s">
        <v>52</v>
      </c>
      <c r="J28" s="14" t="s">
        <v>52</v>
      </c>
    </row>
    <row r="29" ht="33.75" customHeight="1">
      <c r="A29" s="13" t="s">
        <v>164</v>
      </c>
      <c r="B29" s="13" t="s">
        <v>119</v>
      </c>
      <c r="C29" s="13"/>
      <c r="D29" s="13" t="s">
        <v>44</v>
      </c>
      <c r="E29" s="13" t="s">
        <v>47</v>
      </c>
      <c r="F29" s="14"/>
      <c r="G29" s="14"/>
      <c r="H29" s="14"/>
      <c r="I29" s="14" t="s">
        <v>52</v>
      </c>
      <c r="J29" s="14" t="s">
        <v>52</v>
      </c>
    </row>
    <row r="30" ht="33.75" customHeight="1">
      <c r="A30" s="13" t="s">
        <v>167</v>
      </c>
      <c r="B30" s="13" t="s">
        <v>119</v>
      </c>
      <c r="C30" s="13"/>
      <c r="D30" s="13" t="s">
        <v>44</v>
      </c>
      <c r="E30" s="13" t="s">
        <v>47</v>
      </c>
      <c r="F30" s="14"/>
      <c r="G30" s="14"/>
      <c r="H30" s="14"/>
      <c r="I30" s="14" t="s">
        <v>52</v>
      </c>
      <c r="J30" s="14" t="s">
        <v>52</v>
      </c>
    </row>
    <row r="31" ht="33.75" customHeight="1">
      <c r="A31" s="13" t="s">
        <v>171</v>
      </c>
      <c r="B31" s="13" t="s">
        <v>119</v>
      </c>
      <c r="C31" s="13"/>
      <c r="D31" s="13" t="s">
        <v>64</v>
      </c>
      <c r="E31" s="13" t="s">
        <v>65</v>
      </c>
      <c r="F31" s="14"/>
      <c r="G31" s="14"/>
      <c r="H31" s="14"/>
      <c r="I31" s="14" t="s">
        <v>52</v>
      </c>
      <c r="J31" s="14" t="s">
        <v>52</v>
      </c>
    </row>
    <row r="32" ht="33.75" customHeight="1">
      <c r="A32" s="13" t="s">
        <v>175</v>
      </c>
      <c r="B32" s="13" t="s">
        <v>119</v>
      </c>
      <c r="C32" s="13"/>
      <c r="D32" s="13" t="s">
        <v>64</v>
      </c>
      <c r="E32" s="13" t="s">
        <v>65</v>
      </c>
      <c r="F32" s="14"/>
      <c r="G32" s="14"/>
      <c r="H32" s="14"/>
      <c r="I32" s="14" t="s">
        <v>52</v>
      </c>
      <c r="J32" s="14" t="s">
        <v>52</v>
      </c>
    </row>
    <row r="33" ht="33.75" customHeight="1">
      <c r="A33" s="13" t="s">
        <v>177</v>
      </c>
      <c r="B33" s="13" t="s">
        <v>119</v>
      </c>
      <c r="C33" s="13"/>
      <c r="D33" s="13" t="s">
        <v>80</v>
      </c>
      <c r="E33" s="13" t="s">
        <v>82</v>
      </c>
      <c r="F33" s="14"/>
      <c r="G33" s="14"/>
      <c r="H33" s="14"/>
      <c r="I33" s="14" t="s">
        <v>52</v>
      </c>
      <c r="J33" s="14" t="s">
        <v>52</v>
      </c>
    </row>
    <row r="34" ht="33.75" customHeight="1">
      <c r="A34" s="13" t="s">
        <v>181</v>
      </c>
      <c r="B34" s="13" t="s">
        <v>119</v>
      </c>
      <c r="C34" s="13"/>
      <c r="D34" s="13" t="s">
        <v>86</v>
      </c>
      <c r="E34" s="13" t="s">
        <v>87</v>
      </c>
      <c r="F34" s="14"/>
      <c r="G34" s="14"/>
      <c r="H34" s="14"/>
      <c r="I34" s="14" t="s">
        <v>52</v>
      </c>
      <c r="J34" s="14" t="s">
        <v>52</v>
      </c>
    </row>
    <row r="35" ht="33.75" customHeight="1">
      <c r="A35" s="13" t="s">
        <v>182</v>
      </c>
      <c r="B35" s="13" t="s">
        <v>119</v>
      </c>
      <c r="C35" s="13"/>
      <c r="D35" s="13" t="s">
        <v>91</v>
      </c>
      <c r="E35" s="13" t="s">
        <v>93</v>
      </c>
      <c r="F35" s="14"/>
      <c r="G35" s="14"/>
      <c r="H35" s="14"/>
      <c r="I35" s="14" t="s">
        <v>52</v>
      </c>
      <c r="J35" s="14" t="s">
        <v>52</v>
      </c>
    </row>
    <row r="36" ht="33.75" customHeight="1">
      <c r="A36" s="26" t="s">
        <v>185</v>
      </c>
      <c r="B36" s="26" t="s">
        <v>119</v>
      </c>
      <c r="C36" s="26"/>
      <c r="D36" s="26" t="s">
        <v>97</v>
      </c>
      <c r="E36" s="26" t="s">
        <v>99</v>
      </c>
      <c r="F36" s="27"/>
      <c r="G36" s="27"/>
      <c r="H36" s="27"/>
      <c r="I36" s="27" t="s">
        <v>52</v>
      </c>
      <c r="J36" s="27" t="s">
        <v>52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conditionalFormatting sqref="I5:J36">
    <cfRule type="containsText" dxfId="5" priority="1" operator="containsText" text="Yes">
      <formula>NOT(ISERROR(SEARCH(("Yes"),(I5))))</formula>
    </cfRule>
  </conditionalFormatting>
  <conditionalFormatting sqref="I5:J36">
    <cfRule type="containsText" dxfId="7" priority="2" operator="containsText" text="No">
      <formula>NOT(ISERROR(SEARCH(("No"),(I5))))</formula>
    </cfRule>
  </conditionalFormatting>
  <dataValidations>
    <dataValidation type="list" allowBlank="1" sqref="E5:E36">
      <formula1>"Comparison,Research trend,Challenge,Limitation,Research gap,Future direction,Practical implication,Conclusion finding"</formula1>
    </dataValidation>
    <dataValidation type="list" allowBlank="1" sqref="B5:B36">
      <formula1>"Shreesh,Jahnavi,Dwarkesh,Harshitha"</formula1>
    </dataValidation>
    <dataValidation type="list" allowBlank="1" sqref="I5:J36">
      <formula1>"No,Yes"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" width="11.0"/>
    <col customWidth="1" min="3" max="3" width="14.0"/>
    <col customWidth="1" min="4" max="4" width="11.13"/>
    <col customWidth="1" min="5" max="5" width="13.0"/>
    <col customWidth="1" min="6" max="7" width="28.0"/>
    <col customWidth="1" min="8" max="8" width="48.0"/>
    <col customWidth="1" min="9" max="10" width="28.0"/>
    <col customWidth="1" min="11" max="11" width="24.0"/>
    <col customWidth="1" min="12" max="12" width="28.0"/>
    <col customWidth="1" min="13" max="13" width="22.0"/>
    <col customWidth="1" min="14" max="26" width="8.63"/>
  </cols>
  <sheetData>
    <row r="1" ht="31.5" customHeight="1">
      <c r="A1" s="1" t="s">
        <v>202</v>
      </c>
    </row>
    <row r="2" ht="31.5" customHeight="1">
      <c r="A2" s="2" t="s">
        <v>203</v>
      </c>
    </row>
    <row r="4" ht="31.5" customHeight="1">
      <c r="A4" s="4" t="s">
        <v>204</v>
      </c>
      <c r="B4" s="4" t="s">
        <v>7</v>
      </c>
      <c r="C4" s="4" t="s">
        <v>17</v>
      </c>
      <c r="D4" s="4" t="s">
        <v>62</v>
      </c>
      <c r="E4" s="4" t="s">
        <v>206</v>
      </c>
      <c r="F4" s="4" t="s">
        <v>207</v>
      </c>
      <c r="G4" s="4" t="s">
        <v>208</v>
      </c>
      <c r="H4" s="4" t="s">
        <v>209</v>
      </c>
      <c r="I4" s="4" t="s">
        <v>210</v>
      </c>
      <c r="J4" s="4" t="s">
        <v>47</v>
      </c>
      <c r="K4" s="4" t="s">
        <v>211</v>
      </c>
      <c r="L4" s="4" t="s">
        <v>212</v>
      </c>
      <c r="M4" s="4" t="s">
        <v>213</v>
      </c>
    </row>
    <row r="5" ht="33.75" customHeight="1">
      <c r="A5" s="7" t="s">
        <v>214</v>
      </c>
      <c r="B5" s="7"/>
      <c r="C5" s="7"/>
      <c r="D5" s="7"/>
      <c r="E5" s="7"/>
      <c r="F5" s="9"/>
      <c r="G5" s="9"/>
      <c r="H5" s="9"/>
      <c r="I5" s="9"/>
      <c r="J5" s="9"/>
      <c r="K5" s="9"/>
      <c r="L5" s="9"/>
      <c r="M5" s="9" t="s">
        <v>52</v>
      </c>
    </row>
    <row r="6" ht="33.75" customHeight="1">
      <c r="A6" s="13" t="s">
        <v>216</v>
      </c>
      <c r="B6" s="13"/>
      <c r="C6" s="13"/>
      <c r="D6" s="13"/>
      <c r="E6" s="13"/>
      <c r="F6" s="14"/>
      <c r="G6" s="14"/>
      <c r="H6" s="14"/>
      <c r="I6" s="14"/>
      <c r="J6" s="14"/>
      <c r="K6" s="14"/>
      <c r="L6" s="14"/>
      <c r="M6" s="14" t="s">
        <v>52</v>
      </c>
    </row>
    <row r="7" ht="33.75" customHeight="1">
      <c r="A7" s="13" t="s">
        <v>218</v>
      </c>
      <c r="B7" s="13"/>
      <c r="C7" s="13"/>
      <c r="D7" s="13"/>
      <c r="E7" s="13"/>
      <c r="F7" s="14"/>
      <c r="G7" s="14"/>
      <c r="H7" s="14"/>
      <c r="I7" s="14"/>
      <c r="J7" s="14"/>
      <c r="K7" s="14"/>
      <c r="L7" s="14"/>
      <c r="M7" s="14" t="s">
        <v>52</v>
      </c>
    </row>
    <row r="8" ht="33.75" customHeight="1">
      <c r="A8" s="13" t="s">
        <v>220</v>
      </c>
      <c r="B8" s="13"/>
      <c r="C8" s="13"/>
      <c r="D8" s="13"/>
      <c r="E8" s="13"/>
      <c r="F8" s="14"/>
      <c r="G8" s="14"/>
      <c r="H8" s="14"/>
      <c r="I8" s="14"/>
      <c r="J8" s="14"/>
      <c r="K8" s="14"/>
      <c r="L8" s="14"/>
      <c r="M8" s="14" t="s">
        <v>52</v>
      </c>
    </row>
    <row r="9" ht="33.75" customHeight="1">
      <c r="A9" s="13" t="s">
        <v>222</v>
      </c>
      <c r="B9" s="13"/>
      <c r="C9" s="13"/>
      <c r="D9" s="13"/>
      <c r="E9" s="13"/>
      <c r="F9" s="14"/>
      <c r="G9" s="14"/>
      <c r="H9" s="14"/>
      <c r="I9" s="14"/>
      <c r="J9" s="14"/>
      <c r="K9" s="14"/>
      <c r="L9" s="14"/>
      <c r="M9" s="14" t="s">
        <v>52</v>
      </c>
    </row>
    <row r="10" ht="33.75" customHeight="1">
      <c r="A10" s="13" t="s">
        <v>224</v>
      </c>
      <c r="B10" s="13"/>
      <c r="C10" s="13"/>
      <c r="D10" s="13"/>
      <c r="E10" s="13"/>
      <c r="F10" s="14"/>
      <c r="G10" s="14"/>
      <c r="H10" s="14"/>
      <c r="I10" s="14"/>
      <c r="J10" s="14"/>
      <c r="K10" s="14"/>
      <c r="L10" s="14"/>
      <c r="M10" s="14" t="s">
        <v>52</v>
      </c>
    </row>
    <row r="11" ht="33.75" customHeight="1">
      <c r="A11" s="13" t="s">
        <v>226</v>
      </c>
      <c r="B11" s="13"/>
      <c r="C11" s="13"/>
      <c r="D11" s="13"/>
      <c r="E11" s="13"/>
      <c r="F11" s="14"/>
      <c r="G11" s="14"/>
      <c r="H11" s="14"/>
      <c r="I11" s="14"/>
      <c r="J11" s="14"/>
      <c r="K11" s="14"/>
      <c r="L11" s="14"/>
      <c r="M11" s="14" t="s">
        <v>52</v>
      </c>
    </row>
    <row r="12" ht="33.75" customHeight="1">
      <c r="A12" s="13" t="s">
        <v>228</v>
      </c>
      <c r="B12" s="13"/>
      <c r="C12" s="13"/>
      <c r="D12" s="13"/>
      <c r="E12" s="13"/>
      <c r="F12" s="14"/>
      <c r="G12" s="14"/>
      <c r="H12" s="14"/>
      <c r="I12" s="14"/>
      <c r="J12" s="14"/>
      <c r="K12" s="14"/>
      <c r="L12" s="14"/>
      <c r="M12" s="14" t="s">
        <v>52</v>
      </c>
    </row>
    <row r="13" ht="33.75" customHeight="1">
      <c r="A13" s="13" t="s">
        <v>230</v>
      </c>
      <c r="B13" s="13"/>
      <c r="C13" s="13"/>
      <c r="D13" s="13"/>
      <c r="E13" s="13"/>
      <c r="F13" s="14"/>
      <c r="G13" s="14"/>
      <c r="H13" s="14"/>
      <c r="I13" s="14"/>
      <c r="J13" s="14"/>
      <c r="K13" s="14"/>
      <c r="L13" s="14"/>
      <c r="M13" s="14" t="s">
        <v>52</v>
      </c>
    </row>
    <row r="14" ht="33.75" customHeight="1">
      <c r="A14" s="13" t="s">
        <v>232</v>
      </c>
      <c r="B14" s="13"/>
      <c r="C14" s="13"/>
      <c r="D14" s="13"/>
      <c r="E14" s="13"/>
      <c r="F14" s="14"/>
      <c r="G14" s="14"/>
      <c r="H14" s="14"/>
      <c r="I14" s="14"/>
      <c r="J14" s="14"/>
      <c r="K14" s="14"/>
      <c r="L14" s="14"/>
      <c r="M14" s="14" t="s">
        <v>52</v>
      </c>
    </row>
    <row r="15" ht="33.75" customHeight="1">
      <c r="A15" s="13" t="s">
        <v>234</v>
      </c>
      <c r="B15" s="13"/>
      <c r="C15" s="13"/>
      <c r="D15" s="13"/>
      <c r="E15" s="13"/>
      <c r="F15" s="14"/>
      <c r="G15" s="14"/>
      <c r="H15" s="14"/>
      <c r="I15" s="14"/>
      <c r="J15" s="14"/>
      <c r="K15" s="14"/>
      <c r="L15" s="14"/>
      <c r="M15" s="14" t="s">
        <v>52</v>
      </c>
    </row>
    <row r="16" ht="33.75" customHeight="1">
      <c r="A16" s="13" t="s">
        <v>236</v>
      </c>
      <c r="B16" s="13"/>
      <c r="C16" s="13"/>
      <c r="D16" s="13"/>
      <c r="E16" s="13"/>
      <c r="F16" s="14"/>
      <c r="G16" s="14"/>
      <c r="H16" s="14"/>
      <c r="I16" s="14"/>
      <c r="J16" s="14"/>
      <c r="K16" s="14"/>
      <c r="L16" s="14"/>
      <c r="M16" s="14" t="s">
        <v>52</v>
      </c>
    </row>
    <row r="17" ht="33.75" customHeight="1">
      <c r="A17" s="13" t="s">
        <v>237</v>
      </c>
      <c r="B17" s="13"/>
      <c r="C17" s="13"/>
      <c r="D17" s="13"/>
      <c r="E17" s="13"/>
      <c r="F17" s="14"/>
      <c r="G17" s="14"/>
      <c r="H17" s="14"/>
      <c r="I17" s="14"/>
      <c r="J17" s="14"/>
      <c r="K17" s="14"/>
      <c r="L17" s="14"/>
      <c r="M17" s="14" t="s">
        <v>52</v>
      </c>
    </row>
    <row r="18" ht="33.75" customHeight="1">
      <c r="A18" s="13" t="s">
        <v>239</v>
      </c>
      <c r="B18" s="13"/>
      <c r="C18" s="13"/>
      <c r="D18" s="13"/>
      <c r="E18" s="13"/>
      <c r="F18" s="14"/>
      <c r="G18" s="14"/>
      <c r="H18" s="14"/>
      <c r="I18" s="14"/>
      <c r="J18" s="14"/>
      <c r="K18" s="14"/>
      <c r="L18" s="14"/>
      <c r="M18" s="14" t="s">
        <v>52</v>
      </c>
    </row>
    <row r="19" ht="33.75" customHeight="1">
      <c r="A19" s="13" t="s">
        <v>241</v>
      </c>
      <c r="B19" s="13"/>
      <c r="C19" s="13"/>
      <c r="D19" s="13"/>
      <c r="E19" s="13"/>
      <c r="F19" s="14"/>
      <c r="G19" s="14"/>
      <c r="H19" s="14"/>
      <c r="I19" s="14"/>
      <c r="J19" s="14"/>
      <c r="K19" s="14"/>
      <c r="L19" s="14"/>
      <c r="M19" s="14" t="s">
        <v>52</v>
      </c>
    </row>
    <row r="20" ht="33.75" customHeight="1">
      <c r="A20" s="13" t="s">
        <v>243</v>
      </c>
      <c r="B20" s="13"/>
      <c r="C20" s="13"/>
      <c r="D20" s="13"/>
      <c r="E20" s="13"/>
      <c r="F20" s="14"/>
      <c r="G20" s="14"/>
      <c r="H20" s="14"/>
      <c r="I20" s="14"/>
      <c r="J20" s="14"/>
      <c r="K20" s="14"/>
      <c r="L20" s="14"/>
      <c r="M20" s="14" t="s">
        <v>52</v>
      </c>
    </row>
    <row r="21" ht="33.75" customHeight="1">
      <c r="A21" s="13" t="s">
        <v>245</v>
      </c>
      <c r="B21" s="13"/>
      <c r="C21" s="13"/>
      <c r="D21" s="13"/>
      <c r="E21" s="13"/>
      <c r="F21" s="14"/>
      <c r="G21" s="14"/>
      <c r="H21" s="14"/>
      <c r="I21" s="14"/>
      <c r="J21" s="14"/>
      <c r="K21" s="14"/>
      <c r="L21" s="14"/>
      <c r="M21" s="14" t="s">
        <v>52</v>
      </c>
    </row>
    <row r="22" ht="33.75" customHeight="1">
      <c r="A22" s="13" t="s">
        <v>247</v>
      </c>
      <c r="B22" s="13"/>
      <c r="C22" s="13"/>
      <c r="D22" s="13"/>
      <c r="E22" s="13"/>
      <c r="F22" s="14"/>
      <c r="G22" s="14"/>
      <c r="H22" s="14"/>
      <c r="I22" s="14"/>
      <c r="J22" s="14"/>
      <c r="K22" s="14"/>
      <c r="L22" s="14"/>
      <c r="M22" s="14" t="s">
        <v>52</v>
      </c>
    </row>
    <row r="23" ht="33.75" customHeight="1">
      <c r="A23" s="13" t="s">
        <v>248</v>
      </c>
      <c r="B23" s="13"/>
      <c r="C23" s="13"/>
      <c r="D23" s="13"/>
      <c r="E23" s="13"/>
      <c r="F23" s="14"/>
      <c r="G23" s="14"/>
      <c r="H23" s="14"/>
      <c r="I23" s="14"/>
      <c r="J23" s="14"/>
      <c r="K23" s="14"/>
      <c r="L23" s="14"/>
      <c r="M23" s="14" t="s">
        <v>52</v>
      </c>
    </row>
    <row r="24" ht="33.75" customHeight="1">
      <c r="A24" s="13" t="s">
        <v>249</v>
      </c>
      <c r="B24" s="13"/>
      <c r="C24" s="13"/>
      <c r="D24" s="13"/>
      <c r="E24" s="13"/>
      <c r="F24" s="14"/>
      <c r="G24" s="14"/>
      <c r="H24" s="14"/>
      <c r="I24" s="14"/>
      <c r="J24" s="14"/>
      <c r="K24" s="14"/>
      <c r="L24" s="14"/>
      <c r="M24" s="14" t="s">
        <v>52</v>
      </c>
    </row>
    <row r="25" ht="33.75" customHeight="1">
      <c r="A25" s="13" t="s">
        <v>250</v>
      </c>
      <c r="B25" s="13"/>
      <c r="C25" s="13"/>
      <c r="D25" s="13"/>
      <c r="E25" s="13"/>
      <c r="F25" s="14"/>
      <c r="G25" s="14"/>
      <c r="H25" s="14"/>
      <c r="I25" s="14"/>
      <c r="J25" s="14"/>
      <c r="K25" s="14"/>
      <c r="L25" s="14"/>
      <c r="M25" s="14" t="s">
        <v>52</v>
      </c>
    </row>
    <row r="26" ht="33.75" customHeight="1">
      <c r="A26" s="13" t="s">
        <v>251</v>
      </c>
      <c r="B26" s="13"/>
      <c r="C26" s="13"/>
      <c r="D26" s="13"/>
      <c r="E26" s="13"/>
      <c r="F26" s="14"/>
      <c r="G26" s="14"/>
      <c r="H26" s="14"/>
      <c r="I26" s="14"/>
      <c r="J26" s="14"/>
      <c r="K26" s="14"/>
      <c r="L26" s="14"/>
      <c r="M26" s="14" t="s">
        <v>52</v>
      </c>
    </row>
    <row r="27" ht="33.75" customHeight="1">
      <c r="A27" s="13" t="s">
        <v>252</v>
      </c>
      <c r="B27" s="13"/>
      <c r="C27" s="13"/>
      <c r="D27" s="13"/>
      <c r="E27" s="13"/>
      <c r="F27" s="14"/>
      <c r="G27" s="14"/>
      <c r="H27" s="14"/>
      <c r="I27" s="14"/>
      <c r="J27" s="14"/>
      <c r="K27" s="14"/>
      <c r="L27" s="14"/>
      <c r="M27" s="14" t="s">
        <v>52</v>
      </c>
    </row>
    <row r="28" ht="33.75" customHeight="1">
      <c r="A28" s="13" t="s">
        <v>253</v>
      </c>
      <c r="B28" s="13"/>
      <c r="C28" s="13"/>
      <c r="D28" s="13"/>
      <c r="E28" s="13"/>
      <c r="F28" s="14"/>
      <c r="G28" s="14"/>
      <c r="H28" s="14"/>
      <c r="I28" s="14"/>
      <c r="J28" s="14"/>
      <c r="K28" s="14"/>
      <c r="L28" s="14"/>
      <c r="M28" s="14" t="s">
        <v>52</v>
      </c>
    </row>
    <row r="29" ht="33.75" customHeight="1">
      <c r="A29" s="13" t="s">
        <v>254</v>
      </c>
      <c r="B29" s="13"/>
      <c r="C29" s="13"/>
      <c r="D29" s="13"/>
      <c r="E29" s="13"/>
      <c r="F29" s="14"/>
      <c r="G29" s="14"/>
      <c r="H29" s="14"/>
      <c r="I29" s="14"/>
      <c r="J29" s="14"/>
      <c r="K29" s="14"/>
      <c r="L29" s="14"/>
      <c r="M29" s="14" t="s">
        <v>52</v>
      </c>
    </row>
    <row r="30" ht="33.75" customHeight="1">
      <c r="A30" s="13" t="s">
        <v>255</v>
      </c>
      <c r="B30" s="13"/>
      <c r="C30" s="13"/>
      <c r="D30" s="13"/>
      <c r="E30" s="13"/>
      <c r="F30" s="14"/>
      <c r="G30" s="14"/>
      <c r="H30" s="14"/>
      <c r="I30" s="14"/>
      <c r="J30" s="14"/>
      <c r="K30" s="14"/>
      <c r="L30" s="14"/>
      <c r="M30" s="14" t="s">
        <v>52</v>
      </c>
    </row>
    <row r="31" ht="33.75" customHeight="1">
      <c r="A31" s="13" t="s">
        <v>256</v>
      </c>
      <c r="B31" s="13"/>
      <c r="C31" s="13"/>
      <c r="D31" s="13"/>
      <c r="E31" s="13"/>
      <c r="F31" s="14"/>
      <c r="G31" s="14"/>
      <c r="H31" s="14"/>
      <c r="I31" s="14"/>
      <c r="J31" s="14"/>
      <c r="K31" s="14"/>
      <c r="L31" s="14"/>
      <c r="M31" s="14" t="s">
        <v>52</v>
      </c>
    </row>
    <row r="32" ht="33.75" customHeight="1">
      <c r="A32" s="13" t="s">
        <v>257</v>
      </c>
      <c r="B32" s="13"/>
      <c r="C32" s="13"/>
      <c r="D32" s="13"/>
      <c r="E32" s="13"/>
      <c r="F32" s="14"/>
      <c r="G32" s="14"/>
      <c r="H32" s="14"/>
      <c r="I32" s="14"/>
      <c r="J32" s="14"/>
      <c r="K32" s="14"/>
      <c r="L32" s="14"/>
      <c r="M32" s="14" t="s">
        <v>52</v>
      </c>
    </row>
    <row r="33" ht="33.75" customHeight="1">
      <c r="A33" s="13" t="s">
        <v>258</v>
      </c>
      <c r="B33" s="13"/>
      <c r="C33" s="13"/>
      <c r="D33" s="13"/>
      <c r="E33" s="13"/>
      <c r="F33" s="14"/>
      <c r="G33" s="14"/>
      <c r="H33" s="14"/>
      <c r="I33" s="14"/>
      <c r="J33" s="14"/>
      <c r="K33" s="14"/>
      <c r="L33" s="14"/>
      <c r="M33" s="14" t="s">
        <v>52</v>
      </c>
    </row>
    <row r="34" ht="33.75" customHeight="1">
      <c r="A34" s="13" t="s">
        <v>259</v>
      </c>
      <c r="B34" s="13"/>
      <c r="C34" s="13"/>
      <c r="D34" s="13"/>
      <c r="E34" s="13"/>
      <c r="F34" s="14"/>
      <c r="G34" s="14"/>
      <c r="H34" s="14"/>
      <c r="I34" s="14"/>
      <c r="J34" s="14"/>
      <c r="K34" s="14"/>
      <c r="L34" s="14"/>
      <c r="M34" s="14" t="s">
        <v>52</v>
      </c>
    </row>
    <row r="35" ht="33.75" customHeight="1">
      <c r="A35" s="13" t="s">
        <v>260</v>
      </c>
      <c r="B35" s="13"/>
      <c r="C35" s="13"/>
      <c r="D35" s="13"/>
      <c r="E35" s="13"/>
      <c r="F35" s="14"/>
      <c r="G35" s="14"/>
      <c r="H35" s="14"/>
      <c r="I35" s="14"/>
      <c r="J35" s="14"/>
      <c r="K35" s="14"/>
      <c r="L35" s="14"/>
      <c r="M35" s="14" t="s">
        <v>52</v>
      </c>
    </row>
    <row r="36" ht="33.75" customHeight="1">
      <c r="A36" s="13" t="s">
        <v>261</v>
      </c>
      <c r="B36" s="13"/>
      <c r="C36" s="13"/>
      <c r="D36" s="13"/>
      <c r="E36" s="13"/>
      <c r="F36" s="14"/>
      <c r="G36" s="14"/>
      <c r="H36" s="14"/>
      <c r="I36" s="14"/>
      <c r="J36" s="14"/>
      <c r="K36" s="14"/>
      <c r="L36" s="14"/>
      <c r="M36" s="14" t="s">
        <v>52</v>
      </c>
    </row>
    <row r="37" ht="33.75" customHeight="1">
      <c r="A37" s="13" t="s">
        <v>262</v>
      </c>
      <c r="B37" s="13"/>
      <c r="C37" s="13"/>
      <c r="D37" s="13"/>
      <c r="E37" s="13"/>
      <c r="F37" s="14"/>
      <c r="G37" s="14"/>
      <c r="H37" s="14"/>
      <c r="I37" s="14"/>
      <c r="J37" s="14"/>
      <c r="K37" s="14"/>
      <c r="L37" s="14"/>
      <c r="M37" s="14" t="s">
        <v>52</v>
      </c>
    </row>
    <row r="38" ht="33.75" customHeight="1">
      <c r="A38" s="13" t="s">
        <v>263</v>
      </c>
      <c r="B38" s="13"/>
      <c r="C38" s="13"/>
      <c r="D38" s="13"/>
      <c r="E38" s="13"/>
      <c r="F38" s="14"/>
      <c r="G38" s="14"/>
      <c r="H38" s="14"/>
      <c r="I38" s="14"/>
      <c r="J38" s="14"/>
      <c r="K38" s="14"/>
      <c r="L38" s="14"/>
      <c r="M38" s="14" t="s">
        <v>52</v>
      </c>
    </row>
    <row r="39" ht="33.75" customHeight="1">
      <c r="A39" s="13" t="s">
        <v>264</v>
      </c>
      <c r="B39" s="13"/>
      <c r="C39" s="13"/>
      <c r="D39" s="13"/>
      <c r="E39" s="13"/>
      <c r="F39" s="14"/>
      <c r="G39" s="14"/>
      <c r="H39" s="14"/>
      <c r="I39" s="14"/>
      <c r="J39" s="14"/>
      <c r="K39" s="14"/>
      <c r="L39" s="14"/>
      <c r="M39" s="14" t="s">
        <v>52</v>
      </c>
    </row>
    <row r="40" ht="33.75" customHeight="1">
      <c r="A40" s="13" t="s">
        <v>265</v>
      </c>
      <c r="B40" s="13"/>
      <c r="C40" s="13"/>
      <c r="D40" s="13"/>
      <c r="E40" s="13"/>
      <c r="F40" s="14"/>
      <c r="G40" s="14"/>
      <c r="H40" s="14"/>
      <c r="I40" s="14"/>
      <c r="J40" s="14"/>
      <c r="K40" s="14"/>
      <c r="L40" s="14"/>
      <c r="M40" s="14" t="s">
        <v>52</v>
      </c>
    </row>
    <row r="41" ht="33.75" customHeight="1">
      <c r="A41" s="13" t="s">
        <v>266</v>
      </c>
      <c r="B41" s="13"/>
      <c r="C41" s="13"/>
      <c r="D41" s="13"/>
      <c r="E41" s="13"/>
      <c r="F41" s="14"/>
      <c r="G41" s="14"/>
      <c r="H41" s="14"/>
      <c r="I41" s="14"/>
      <c r="J41" s="14"/>
      <c r="K41" s="14"/>
      <c r="L41" s="14"/>
      <c r="M41" s="14" t="s">
        <v>52</v>
      </c>
    </row>
    <row r="42" ht="33.75" customHeight="1">
      <c r="A42" s="13" t="s">
        <v>267</v>
      </c>
      <c r="B42" s="13"/>
      <c r="C42" s="13"/>
      <c r="D42" s="13"/>
      <c r="E42" s="13"/>
      <c r="F42" s="14"/>
      <c r="G42" s="14"/>
      <c r="H42" s="14"/>
      <c r="I42" s="14"/>
      <c r="J42" s="14"/>
      <c r="K42" s="14"/>
      <c r="L42" s="14"/>
      <c r="M42" s="14" t="s">
        <v>52</v>
      </c>
    </row>
    <row r="43" ht="33.75" customHeight="1">
      <c r="A43" s="13" t="s">
        <v>268</v>
      </c>
      <c r="B43" s="13"/>
      <c r="C43" s="13"/>
      <c r="D43" s="13"/>
      <c r="E43" s="13"/>
      <c r="F43" s="14"/>
      <c r="G43" s="14"/>
      <c r="H43" s="14"/>
      <c r="I43" s="14"/>
      <c r="J43" s="14"/>
      <c r="K43" s="14"/>
      <c r="L43" s="14"/>
      <c r="M43" s="14" t="s">
        <v>52</v>
      </c>
    </row>
    <row r="44" ht="33.75" customHeight="1">
      <c r="A44" s="13" t="s">
        <v>269</v>
      </c>
      <c r="B44" s="13"/>
      <c r="C44" s="13"/>
      <c r="D44" s="13"/>
      <c r="E44" s="13"/>
      <c r="F44" s="14"/>
      <c r="G44" s="14"/>
      <c r="H44" s="14"/>
      <c r="I44" s="14"/>
      <c r="J44" s="14"/>
      <c r="K44" s="14"/>
      <c r="L44" s="14"/>
      <c r="M44" s="14" t="s">
        <v>52</v>
      </c>
    </row>
    <row r="45" ht="33.75" customHeight="1">
      <c r="A45" s="13" t="s">
        <v>270</v>
      </c>
      <c r="B45" s="13"/>
      <c r="C45" s="13"/>
      <c r="D45" s="13"/>
      <c r="E45" s="13"/>
      <c r="F45" s="14"/>
      <c r="G45" s="14"/>
      <c r="H45" s="14"/>
      <c r="I45" s="14"/>
      <c r="J45" s="14"/>
      <c r="K45" s="14"/>
      <c r="L45" s="14"/>
      <c r="M45" s="14" t="s">
        <v>52</v>
      </c>
    </row>
    <row r="46" ht="33.75" customHeight="1">
      <c r="A46" s="13" t="s">
        <v>271</v>
      </c>
      <c r="B46" s="13"/>
      <c r="C46" s="13"/>
      <c r="D46" s="13"/>
      <c r="E46" s="13"/>
      <c r="F46" s="14"/>
      <c r="G46" s="14"/>
      <c r="H46" s="14"/>
      <c r="I46" s="14"/>
      <c r="J46" s="14"/>
      <c r="K46" s="14"/>
      <c r="L46" s="14"/>
      <c r="M46" s="14" t="s">
        <v>52</v>
      </c>
    </row>
    <row r="47" ht="33.75" customHeight="1">
      <c r="A47" s="13" t="s">
        <v>272</v>
      </c>
      <c r="B47" s="13"/>
      <c r="C47" s="13"/>
      <c r="D47" s="13"/>
      <c r="E47" s="13"/>
      <c r="F47" s="14"/>
      <c r="G47" s="14"/>
      <c r="H47" s="14"/>
      <c r="I47" s="14"/>
      <c r="J47" s="14"/>
      <c r="K47" s="14"/>
      <c r="L47" s="14"/>
      <c r="M47" s="14" t="s">
        <v>52</v>
      </c>
    </row>
    <row r="48" ht="33.75" customHeight="1">
      <c r="A48" s="13" t="s">
        <v>273</v>
      </c>
      <c r="B48" s="13"/>
      <c r="C48" s="13"/>
      <c r="D48" s="13"/>
      <c r="E48" s="13"/>
      <c r="F48" s="14"/>
      <c r="G48" s="14"/>
      <c r="H48" s="14"/>
      <c r="I48" s="14"/>
      <c r="J48" s="14"/>
      <c r="K48" s="14"/>
      <c r="L48" s="14"/>
      <c r="M48" s="14" t="s">
        <v>52</v>
      </c>
    </row>
    <row r="49" ht="33.75" customHeight="1">
      <c r="A49" s="13" t="s">
        <v>274</v>
      </c>
      <c r="B49" s="13"/>
      <c r="C49" s="13"/>
      <c r="D49" s="13"/>
      <c r="E49" s="13"/>
      <c r="F49" s="14"/>
      <c r="G49" s="14"/>
      <c r="H49" s="14"/>
      <c r="I49" s="14"/>
      <c r="J49" s="14"/>
      <c r="K49" s="14"/>
      <c r="L49" s="14"/>
      <c r="M49" s="14" t="s">
        <v>52</v>
      </c>
    </row>
    <row r="50" ht="33.75" customHeight="1">
      <c r="A50" s="13" t="s">
        <v>275</v>
      </c>
      <c r="B50" s="13"/>
      <c r="C50" s="13"/>
      <c r="D50" s="13"/>
      <c r="E50" s="13"/>
      <c r="F50" s="14"/>
      <c r="G50" s="14"/>
      <c r="H50" s="14"/>
      <c r="I50" s="14"/>
      <c r="J50" s="14"/>
      <c r="K50" s="14"/>
      <c r="L50" s="14"/>
      <c r="M50" s="14" t="s">
        <v>52</v>
      </c>
    </row>
    <row r="51" ht="33.75" customHeight="1">
      <c r="A51" s="13" t="s">
        <v>276</v>
      </c>
      <c r="B51" s="13"/>
      <c r="C51" s="13"/>
      <c r="D51" s="13"/>
      <c r="E51" s="13"/>
      <c r="F51" s="14"/>
      <c r="G51" s="14"/>
      <c r="H51" s="14"/>
      <c r="I51" s="14"/>
      <c r="J51" s="14"/>
      <c r="K51" s="14"/>
      <c r="L51" s="14"/>
      <c r="M51" s="14" t="s">
        <v>52</v>
      </c>
    </row>
    <row r="52" ht="33.75" customHeight="1">
      <c r="A52" s="13" t="s">
        <v>277</v>
      </c>
      <c r="B52" s="13"/>
      <c r="C52" s="13"/>
      <c r="D52" s="13"/>
      <c r="E52" s="13"/>
      <c r="F52" s="14"/>
      <c r="G52" s="14"/>
      <c r="H52" s="14"/>
      <c r="I52" s="14"/>
      <c r="J52" s="14"/>
      <c r="K52" s="14"/>
      <c r="L52" s="14"/>
      <c r="M52" s="14" t="s">
        <v>52</v>
      </c>
    </row>
    <row r="53" ht="33.75" customHeight="1">
      <c r="A53" s="13" t="s">
        <v>278</v>
      </c>
      <c r="B53" s="13"/>
      <c r="C53" s="13"/>
      <c r="D53" s="13"/>
      <c r="E53" s="13"/>
      <c r="F53" s="14"/>
      <c r="G53" s="14"/>
      <c r="H53" s="14"/>
      <c r="I53" s="14"/>
      <c r="J53" s="14"/>
      <c r="K53" s="14"/>
      <c r="L53" s="14"/>
      <c r="M53" s="14" t="s">
        <v>52</v>
      </c>
    </row>
    <row r="54" ht="33.75" customHeight="1">
      <c r="A54" s="26" t="s">
        <v>279</v>
      </c>
      <c r="B54" s="26"/>
      <c r="C54" s="26"/>
      <c r="D54" s="26"/>
      <c r="E54" s="26"/>
      <c r="F54" s="27"/>
      <c r="G54" s="27"/>
      <c r="H54" s="27"/>
      <c r="I54" s="27"/>
      <c r="J54" s="27"/>
      <c r="K54" s="27"/>
      <c r="L54" s="27"/>
      <c r="M54" s="27" t="s">
        <v>52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M1"/>
    <mergeCell ref="A2:M2"/>
  </mergeCells>
  <conditionalFormatting sqref="M5:M54">
    <cfRule type="containsText" dxfId="5" priority="1" operator="containsText" text="Yes—cross-checked">
      <formula>NOT(ISERROR(SEARCH(("Yes—cross-checked"),(M5))))</formula>
    </cfRule>
  </conditionalFormatting>
  <conditionalFormatting sqref="M5:M54">
    <cfRule type="containsText" dxfId="8" priority="2" operator="containsText" text="Yes—checked by writer">
      <formula>NOT(ISERROR(SEARCH(("Yes—checked by writer"),(M5))))</formula>
    </cfRule>
  </conditionalFormatting>
  <conditionalFormatting sqref="M5:M54">
    <cfRule type="containsText" dxfId="7" priority="3" operator="containsText" text="No">
      <formula>NOT(ISERROR(SEARCH(("No"),(M5))))</formula>
    </cfRule>
  </conditionalFormatting>
  <dataValidations>
    <dataValidation type="decimal" allowBlank="1" sqref="D5:D54">
      <formula1>1.0</formula1>
      <formula2>12.0</formula2>
    </dataValidation>
    <dataValidation type="list" allowBlank="1" sqref="M5:M54">
      <formula1>"No,Yes—checked by writer,Yes—cross-checked"</formula1>
    </dataValidation>
    <dataValidation type="list" allowBlank="1" sqref="C5:C54">
      <formula1>"Shreesh,Jahnavi,Dwarkesh,Harshitha,Nicky"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